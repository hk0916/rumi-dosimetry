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현재_통합_문��_�_" defaultThemeVersion="202300"/>
  <mc:AlternateContent xmlns:mc="http://schemas.openxmlformats.org/markup-compatibility/2006">
    <mc:Choice Requires="x15">
      <x15ac:absPath xmlns:x15ac="http://schemas.microsoft.com/office/spreadsheetml/2010/11/ac" url="D:\00.자료\100.개인\Doc\"/>
    </mc:Choice>
  </mc:AlternateContent>
  <xr:revisionPtr revIDLastSave="0" documentId="8_{58017E27-D769-4473-BEB9-A8FB32385646}" xr6:coauthVersionLast="47" xr6:coauthVersionMax="47" xr10:uidLastSave="{00000000-0000-0000-0000-000000000000}"/>
  <bookViews>
    <workbookView xWindow="43080" yWindow="3570" windowWidth="29040" windowHeight="15720" firstSheet="7" activeTab="11" xr2:uid="{99125852-7A7C-427B-84B6-FDD6E29CA197}"/>
  </bookViews>
  <sheets>
    <sheet name="CMD" sheetId="1" r:id="rId1"/>
    <sheet name="0x01_Get_GW_Information" sheetId="2" r:id="rId2"/>
    <sheet name="0x02_Set_OTA_Server_URL" sheetId="3" r:id="rId3"/>
    <sheet name="0x03_Set_OTA_File_Name" sheetId="4" r:id="rId4"/>
    <sheet name="0x04_Set_WS_Server_URL" sheetId="5" r:id="rId5"/>
    <sheet name="0x05_Set_Server_Report_Interval" sheetId="6" r:id="rId6"/>
    <sheet name="0x06_Set_RSSI_Filter" sheetId="7" r:id="rId7"/>
    <sheet name="0x07_Cmd_OTA_Start" sheetId="11" r:id="rId8"/>
    <sheet name="0x08_GW_Info_Indication" sheetId="14" r:id="rId9"/>
    <sheet name="0x09_GW_Factory_Reset" sheetId="15" r:id="rId10"/>
    <sheet name="0x0A_Tag_Data_Indication" sheetId="17" r:id="rId11"/>
    <sheet name="0x0B_Dose_Data_Indication" sheetId="18"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18" l="1"/>
  <c r="B16" i="18"/>
  <c r="C8" i="18"/>
  <c r="B8" i="18"/>
  <c r="C16" i="17"/>
  <c r="C8" i="17"/>
  <c r="C15" i="15"/>
  <c r="C8" i="15"/>
  <c r="C15" i="14"/>
  <c r="C8" i="14"/>
  <c r="C15" i="11"/>
  <c r="C8" i="11"/>
  <c r="C15" i="7"/>
  <c r="C8" i="7"/>
  <c r="C15" i="6"/>
  <c r="C8" i="6"/>
  <c r="C15" i="5"/>
  <c r="C8" i="5"/>
  <c r="C15" i="4"/>
  <c r="C8" i="4"/>
  <c r="C15" i="3"/>
  <c r="C8" i="3"/>
  <c r="C13" i="2"/>
  <c r="C7" i="2"/>
  <c r="B16" i="17"/>
  <c r="B8" i="17"/>
  <c r="B15" i="15"/>
  <c r="B8" i="15"/>
  <c r="B8" i="14"/>
  <c r="B15" i="14"/>
  <c r="B15" i="11"/>
  <c r="B8" i="11"/>
  <c r="B15" i="7"/>
  <c r="B8" i="7"/>
  <c r="B15" i="6"/>
  <c r="B8" i="6"/>
  <c r="B15" i="5"/>
  <c r="B8" i="5"/>
  <c r="B15" i="4"/>
  <c r="B8" i="4"/>
  <c r="B15" i="3"/>
  <c r="B8" i="3"/>
  <c r="B13" i="2"/>
  <c r="B7" i="2"/>
</calcChain>
</file>

<file path=xl/sharedStrings.xml><?xml version="1.0" encoding="utf-8"?>
<sst xmlns="http://schemas.openxmlformats.org/spreadsheetml/2006/main" count="702" uniqueCount="201">
  <si>
    <t>RSSI Filter</t>
    <phoneticPr fontId="1" type="noConversion"/>
  </si>
  <si>
    <t>OTA Server URL</t>
    <phoneticPr fontId="1" type="noConversion"/>
  </si>
  <si>
    <t>0x00</t>
    <phoneticPr fontId="1" type="noConversion"/>
  </si>
  <si>
    <t>0x01</t>
    <phoneticPr fontId="1" type="noConversion"/>
  </si>
  <si>
    <t>0x02</t>
    <phoneticPr fontId="1" type="noConversion"/>
  </si>
  <si>
    <t>0x04</t>
    <phoneticPr fontId="1" type="noConversion"/>
  </si>
  <si>
    <t>Length</t>
    <phoneticPr fontId="1" type="noConversion"/>
  </si>
  <si>
    <t>Value</t>
    <phoneticPr fontId="1" type="noConversion"/>
  </si>
  <si>
    <t>0x3C</t>
    <phoneticPr fontId="1" type="noConversion"/>
  </si>
  <si>
    <t>Data Type</t>
    <phoneticPr fontId="1" type="noConversion"/>
  </si>
  <si>
    <t>Request</t>
    <phoneticPr fontId="1" type="noConversion"/>
  </si>
  <si>
    <t>Req/Rsp</t>
    <phoneticPr fontId="1" type="noConversion"/>
  </si>
  <si>
    <t>1 Byte</t>
    <phoneticPr fontId="1" type="noConversion"/>
  </si>
  <si>
    <t>Response</t>
    <phoneticPr fontId="1" type="noConversion"/>
  </si>
  <si>
    <t>Data</t>
    <phoneticPr fontId="1" type="noConversion"/>
  </si>
  <si>
    <t>Returen Value</t>
    <phoneticPr fontId="1" type="noConversion"/>
  </si>
  <si>
    <t>2 Byte</t>
    <phoneticPr fontId="1" type="noConversion"/>
  </si>
  <si>
    <t>Server -&gt; G/W</t>
    <phoneticPr fontId="1" type="noConversion"/>
  </si>
  <si>
    <t>G/W -&gt; Server</t>
    <phoneticPr fontId="1" type="noConversion"/>
  </si>
  <si>
    <t>0x00 01</t>
    <phoneticPr fontId="1" type="noConversion"/>
  </si>
  <si>
    <t>Set RSSI Filter</t>
    <phoneticPr fontId="1" type="noConversion"/>
  </si>
  <si>
    <t>Direction</t>
    <phoneticPr fontId="1" type="noConversion"/>
  </si>
  <si>
    <t>Description</t>
    <phoneticPr fontId="1" type="noConversion"/>
  </si>
  <si>
    <t>Return Value</t>
    <phoneticPr fontId="1" type="noConversion"/>
  </si>
  <si>
    <t>Success</t>
    <phoneticPr fontId="1" type="noConversion"/>
  </si>
  <si>
    <t>Fail</t>
    <phoneticPr fontId="1" type="noConversion"/>
  </si>
  <si>
    <t>0x03</t>
    <phoneticPr fontId="1" type="noConversion"/>
  </si>
  <si>
    <t>0x05</t>
    <phoneticPr fontId="1" type="noConversion"/>
  </si>
  <si>
    <t>0x06</t>
    <phoneticPr fontId="1" type="noConversion"/>
  </si>
  <si>
    <t>0x07</t>
    <phoneticPr fontId="1" type="noConversion"/>
  </si>
  <si>
    <t>0x08</t>
    <phoneticPr fontId="1" type="noConversion"/>
  </si>
  <si>
    <t>0x09</t>
    <phoneticPr fontId="1" type="noConversion"/>
  </si>
  <si>
    <t>Get GW Information Request</t>
    <phoneticPr fontId="1" type="noConversion"/>
  </si>
  <si>
    <t>Get GW Information Response</t>
    <phoneticPr fontId="1" type="noConversion"/>
  </si>
  <si>
    <t>Get Gateway Information</t>
    <phoneticPr fontId="1" type="noConversion"/>
  </si>
  <si>
    <t>Set OTA file name</t>
    <phoneticPr fontId="1" type="noConversion"/>
  </si>
  <si>
    <t>Set web socket server url(include Port)</t>
    <phoneticPr fontId="1" type="noConversion"/>
  </si>
  <si>
    <t>Set OTA Server URL Request</t>
    <phoneticPr fontId="1" type="noConversion"/>
  </si>
  <si>
    <t>Set OTA Server URL Response</t>
    <phoneticPr fontId="1" type="noConversion"/>
  </si>
  <si>
    <t>Set OTA File Name Request</t>
    <phoneticPr fontId="1" type="noConversion"/>
  </si>
  <si>
    <t>Set OTA File Name Response</t>
    <phoneticPr fontId="1" type="noConversion"/>
  </si>
  <si>
    <t>Set Web Socket Server URL Request</t>
    <phoneticPr fontId="1" type="noConversion"/>
  </si>
  <si>
    <t>Set Web Socket Server URL Response</t>
    <phoneticPr fontId="1" type="noConversion"/>
  </si>
  <si>
    <t>Set Server Report Interval Request</t>
    <phoneticPr fontId="1" type="noConversion"/>
  </si>
  <si>
    <t>Set Server Report Interval Response</t>
    <phoneticPr fontId="1" type="noConversion"/>
  </si>
  <si>
    <t>Set RSSI Filter Request</t>
    <phoneticPr fontId="1" type="noConversion"/>
  </si>
  <si>
    <t>Set RSSI Filter Response</t>
    <phoneticPr fontId="1" type="noConversion"/>
  </si>
  <si>
    <t>Cmd OTA Start</t>
    <phoneticPr fontId="1" type="noConversion"/>
  </si>
  <si>
    <t>Command OTA Start Request</t>
    <phoneticPr fontId="1" type="noConversion"/>
  </si>
  <si>
    <t>Command OTA Start Response</t>
    <phoneticPr fontId="1" type="noConversion"/>
  </si>
  <si>
    <t>OTA Server URL Length</t>
    <phoneticPr fontId="1" type="noConversion"/>
  </si>
  <si>
    <t>variable</t>
    <phoneticPr fontId="1" type="noConversion"/>
  </si>
  <si>
    <t>OTA File Name</t>
    <phoneticPr fontId="1" type="noConversion"/>
  </si>
  <si>
    <t>OTA File Name Length</t>
    <phoneticPr fontId="1" type="noConversion"/>
  </si>
  <si>
    <t>* iot_ota_image</t>
    <phoneticPr fontId="1" type="noConversion"/>
  </si>
  <si>
    <t>0x69 6F 74 5F 6F 74 
61 5F 69 6D 61 67 65</t>
    <phoneticPr fontId="1" type="noConversion"/>
  </si>
  <si>
    <t>0x0D</t>
    <phoneticPr fontId="1" type="noConversion"/>
  </si>
  <si>
    <t>* 0x0D : 13 Byte</t>
    <phoneticPr fontId="1" type="noConversion"/>
  </si>
  <si>
    <t>Web Soekcet Server URL Length</t>
    <phoneticPr fontId="1" type="noConversion"/>
  </si>
  <si>
    <t>Web Soekcet Server URL</t>
    <phoneticPr fontId="1" type="noConversion"/>
  </si>
  <si>
    <t>Set OTA Server URL</t>
    <phoneticPr fontId="1" type="noConversion"/>
  </si>
  <si>
    <t>Set Server Report Interval</t>
    <phoneticPr fontId="1" type="noConversion"/>
  </si>
  <si>
    <t>0x77 73 3A 2F 2F 77 77 77 2E 74 72 61
63 65 74 61 67 68 75 62 2E 69 6F 3A 35 31 30 32 2F</t>
    <phoneticPr fontId="1" type="noConversion"/>
  </si>
  <si>
    <t>0x23</t>
    <phoneticPr fontId="1" type="noConversion"/>
  </si>
  <si>
    <t>* 0x23 : 35 Byte</t>
    <phoneticPr fontId="1" type="noConversion"/>
  </si>
  <si>
    <t>H/W Version</t>
    <phoneticPr fontId="1" type="noConversion"/>
  </si>
  <si>
    <t>F/W Version</t>
    <phoneticPr fontId="1" type="noConversion"/>
  </si>
  <si>
    <t>7 Byte</t>
    <phoneticPr fontId="1" type="noConversion"/>
  </si>
  <si>
    <t xml:space="preserve"> * 0.0.0.1</t>
    <phoneticPr fontId="1" type="noConversion"/>
  </si>
  <si>
    <t>0x30 2E 30 2E
30 2E 31</t>
    <phoneticPr fontId="1" type="noConversion"/>
  </si>
  <si>
    <t>4 Byte</t>
    <phoneticPr fontId="1" type="noConversion"/>
  </si>
  <si>
    <t>0x00 00 00 01</t>
    <phoneticPr fontId="1" type="noConversion"/>
  </si>
  <si>
    <t>* 1s</t>
    <phoneticPr fontId="1" type="noConversion"/>
  </si>
  <si>
    <t>Indication</t>
    <phoneticPr fontId="1" type="noConversion"/>
  </si>
  <si>
    <t>* ws://www.tracetaghub.io:5102/</t>
    <phoneticPr fontId="1" type="noConversion"/>
  </si>
  <si>
    <t>0x00 23</t>
    <phoneticPr fontId="1" type="noConversion"/>
  </si>
  <si>
    <t>Report Interval</t>
    <phoneticPr fontId="1" type="noConversion"/>
  </si>
  <si>
    <t>* 0x3C : -60dBm</t>
    <phoneticPr fontId="1" type="noConversion"/>
  </si>
  <si>
    <t>0x1D</t>
    <phoneticPr fontId="1" type="noConversion"/>
  </si>
  <si>
    <t>0x00 64</t>
    <phoneticPr fontId="1" type="noConversion"/>
  </si>
  <si>
    <t>Set OTA File Name</t>
    <phoneticPr fontId="1" type="noConversion"/>
  </si>
  <si>
    <t>Web Socket Server URL</t>
    <phoneticPr fontId="1" type="noConversion"/>
  </si>
  <si>
    <t>* 0x1D : 29 Byte</t>
    <phoneticPr fontId="1" type="noConversion"/>
  </si>
  <si>
    <t>0x00 04</t>
    <phoneticPr fontId="1" type="noConversion"/>
  </si>
  <si>
    <t>0x00 1D</t>
    <phoneticPr fontId="1" type="noConversion"/>
  </si>
  <si>
    <t>0x00 0D</t>
    <phoneticPr fontId="1" type="noConversion"/>
  </si>
  <si>
    <t>* http://www.tracetaghub.io:7102/ota/0001/ota_image_0001</t>
    <phoneticPr fontId="1" type="noConversion"/>
  </si>
  <si>
    <t>* http://www.tracetaghub.io:7102/ota/0002/ota_image_0002</t>
    <phoneticPr fontId="1" type="noConversion"/>
  </si>
  <si>
    <t>* http://www.tracetaghub.io:7102/ota/0003/ota_image_0003</t>
    <phoneticPr fontId="1" type="noConversion"/>
  </si>
  <si>
    <t>* http://www.tracetaghub.io:7102/ota/0004/ota_image_0004</t>
    <phoneticPr fontId="1" type="noConversion"/>
  </si>
  <si>
    <t>* http://www.tracetaghub.io:7102/auto_ota/iot_gw.bin</t>
    <phoneticPr fontId="1" type="noConversion"/>
  </si>
  <si>
    <t>0.0.0.4</t>
    <phoneticPr fontId="1" type="noConversion"/>
  </si>
  <si>
    <t>* http://www.tracetaghub.io:7102/ota/ota_image_0004</t>
    <phoneticPr fontId="1" type="noConversion"/>
  </si>
  <si>
    <t>GW Information Indication</t>
    <phoneticPr fontId="1" type="noConversion"/>
  </si>
  <si>
    <t xml:space="preserve">GW Information Response </t>
    <phoneticPr fontId="1" type="noConversion"/>
  </si>
  <si>
    <t>BT MAC Addr</t>
    <phoneticPr fontId="1" type="noConversion"/>
  </si>
  <si>
    <t>6 Byte</t>
    <phoneticPr fontId="1" type="noConversion"/>
  </si>
  <si>
    <t>0x11 22 33 44
55 66</t>
    <phoneticPr fontId="1" type="noConversion"/>
  </si>
  <si>
    <t>0x00 6A</t>
    <phoneticPr fontId="1" type="noConversion"/>
  </si>
  <si>
    <t>GW Factory Reset Request</t>
    <phoneticPr fontId="1" type="noConversion"/>
  </si>
  <si>
    <t>GW Factory Reset Response</t>
    <phoneticPr fontId="1" type="noConversion"/>
  </si>
  <si>
    <t>Gateway Factory Reset Request</t>
    <phoneticPr fontId="1" type="noConversion"/>
  </si>
  <si>
    <t>* http://www.tracetaghub.io:7102/ota/iot_ota_image_0005</t>
    <phoneticPr fontId="1" type="noConversion"/>
  </si>
  <si>
    <t>0x68 74 74 70 3A 2F 2F 77 77 77 2E 74 72 61
63 65 74 61 67 68 75 62 2E 69 6F 3A 37 31 30 02 2F 6F 
74 61 2F 69 6F 74 5F 6F 74 61 5F 69 6D 61 67 65 5F 30 
30 30 30 35</t>
    <phoneticPr fontId="1" type="noConversion"/>
  </si>
  <si>
    <t>0x00 35</t>
    <phoneticPr fontId="1" type="noConversion"/>
  </si>
  <si>
    <t>Command OTA Start Request(Manual)</t>
    <phoneticPr fontId="1" type="noConversion"/>
  </si>
  <si>
    <t>Set OTA Server URL Request(Auto)</t>
    <phoneticPr fontId="1" type="noConversion"/>
  </si>
  <si>
    <t>* http://www.tracetaghub.io:6102/auto_ota/iot_gw.bin</t>
    <phoneticPr fontId="1" type="noConversion"/>
  </si>
  <si>
    <t>0x68 74 74 70 3A 2F 2F 77 77 77 2E 74 72 61
63 65 74 61 67 68 75 62 2E 69 6F 3A 36 31 30 02 2F
61 75 74 6F 5F 6F 74 61 2F 69 6F 74 5F 67 77 2E 62 69 6E</t>
    <phoneticPr fontId="1" type="noConversion"/>
  </si>
  <si>
    <t>OTA Server URL(Auto)</t>
    <phoneticPr fontId="1" type="noConversion"/>
  </si>
  <si>
    <t>OTA URI(Manual)</t>
    <phoneticPr fontId="1" type="noConversion"/>
  </si>
  <si>
    <t>Endian 고려해야함.</t>
    <phoneticPr fontId="1" type="noConversion"/>
  </si>
  <si>
    <t>0x0A</t>
    <phoneticPr fontId="1" type="noConversion"/>
  </si>
  <si>
    <t>0x03</t>
    <phoneticPr fontId="1" type="noConversion"/>
  </si>
  <si>
    <t>GW Tag Beacon Data Indication</t>
    <phoneticPr fontId="1" type="noConversion"/>
  </si>
  <si>
    <t xml:space="preserve">GW Tag Beacon Data Response </t>
    <phoneticPr fontId="1" type="noConversion"/>
  </si>
  <si>
    <t>0x0A</t>
    <phoneticPr fontId="1" type="noConversion"/>
  </si>
  <si>
    <t>Tag Data</t>
    <phoneticPr fontId="1" type="noConversion"/>
  </si>
  <si>
    <t>Scan Tick</t>
    <phoneticPr fontId="1" type="noConversion"/>
  </si>
  <si>
    <t>0x00 00 30 39</t>
    <phoneticPr fontId="1" type="noConversion"/>
  </si>
  <si>
    <t xml:space="preserve"> * 12,345us</t>
    <phoneticPr fontId="1" type="noConversion"/>
  </si>
  <si>
    <t>RSSI</t>
    <phoneticPr fontId="1" type="noConversion"/>
  </si>
  <si>
    <t>* 0x3C : -60dBm</t>
  </si>
  <si>
    <t>Tag Beacon Data</t>
    <phoneticPr fontId="1" type="noConversion"/>
  </si>
  <si>
    <t>31 Byte</t>
    <phoneticPr fontId="1" type="noConversion"/>
  </si>
  <si>
    <t>0x00 2A</t>
    <phoneticPr fontId="1" type="noConversion"/>
  </si>
  <si>
    <t>0x11 22 33 44 55 66</t>
    <phoneticPr fontId="1" type="noConversion"/>
  </si>
  <si>
    <t>Battery</t>
    <phoneticPr fontId="1" type="noConversion"/>
  </si>
  <si>
    <t>CG1</t>
    <phoneticPr fontId="1" type="noConversion"/>
  </si>
  <si>
    <t>Byte</t>
    <phoneticPr fontId="1" type="noConversion"/>
  </si>
  <si>
    <t>Field</t>
    <phoneticPr fontId="1" type="noConversion"/>
  </si>
  <si>
    <t>Local Name Length 6, 1~6 byte</t>
    <phoneticPr fontId="1" type="noConversion"/>
  </si>
  <si>
    <t>Complete Local Name</t>
    <phoneticPr fontId="1" type="noConversion"/>
  </si>
  <si>
    <t>ID : 0x09</t>
    <phoneticPr fontId="1" type="noConversion"/>
  </si>
  <si>
    <t>Local Name</t>
    <phoneticPr fontId="1" type="noConversion"/>
  </si>
  <si>
    <t>Tx Power Level Length 2, 8~9 byte</t>
    <phoneticPr fontId="1" type="noConversion"/>
  </si>
  <si>
    <t>&lt;&lt;Tx Power Level&gt;&gt;</t>
    <phoneticPr fontId="1" type="noConversion"/>
  </si>
  <si>
    <t>ID : 0x0A</t>
    <phoneticPr fontId="1" type="noConversion"/>
  </si>
  <si>
    <t>Tx Power</t>
    <phoneticPr fontId="1" type="noConversion"/>
  </si>
  <si>
    <t>Tx Power Level 10dBm</t>
    <phoneticPr fontId="1" type="noConversion"/>
  </si>
  <si>
    <t>0x0C</t>
    <phoneticPr fontId="1" type="noConversion"/>
  </si>
  <si>
    <t>Manufacture Data Length 12 11~22 btye</t>
    <phoneticPr fontId="1" type="noConversion"/>
  </si>
  <si>
    <t>&lt;&lt;Manufacture Specific Data&gt;&gt;</t>
    <phoneticPr fontId="1" type="noConversion"/>
  </si>
  <si>
    <t>0xFF</t>
    <phoneticPr fontId="1" type="noConversion"/>
  </si>
  <si>
    <t>ID : 0xFF</t>
    <phoneticPr fontId="1" type="noConversion"/>
  </si>
  <si>
    <t>Manufacture ID [0]</t>
    <phoneticPr fontId="1" type="noConversion"/>
  </si>
  <si>
    <t>Manufacture ID [0] : 0x05</t>
    <phoneticPr fontId="1" type="noConversion"/>
  </si>
  <si>
    <t>Manufacture ID [1]</t>
    <phoneticPr fontId="1" type="noConversion"/>
  </si>
  <si>
    <t>Manufacture ID [1] : 0x05</t>
    <phoneticPr fontId="1" type="noConversion"/>
  </si>
  <si>
    <t>Temperature High</t>
    <phoneticPr fontId="1" type="noConversion"/>
  </si>
  <si>
    <t>0x</t>
    <phoneticPr fontId="1" type="noConversion"/>
  </si>
  <si>
    <t>temperature High</t>
    <phoneticPr fontId="1" type="noConversion"/>
  </si>
  <si>
    <t>Temperature Low</t>
    <phoneticPr fontId="1" type="noConversion"/>
  </si>
  <si>
    <t>temperature Low</t>
    <phoneticPr fontId="1" type="noConversion"/>
  </si>
  <si>
    <t>Advertising Count [0]</t>
    <phoneticPr fontId="1" type="noConversion"/>
  </si>
  <si>
    <t>CNT ++</t>
    <phoneticPr fontId="1" type="noConversion"/>
  </si>
  <si>
    <t>Advertising Count [1]</t>
  </si>
  <si>
    <t>Advertising Count [2]</t>
  </si>
  <si>
    <t>Advertising Count [3]</t>
  </si>
  <si>
    <t>Dose ADC[0]</t>
    <phoneticPr fontId="1" type="noConversion"/>
  </si>
  <si>
    <t>ADC</t>
    <phoneticPr fontId="1" type="noConversion"/>
  </si>
  <si>
    <t>Dose ADC[0]</t>
  </si>
  <si>
    <t>Dose ADC[1]</t>
    <phoneticPr fontId="1" type="noConversion"/>
  </si>
  <si>
    <t>Dose ADC[2]</t>
    <phoneticPr fontId="1" type="noConversion"/>
  </si>
  <si>
    <t>Dose ADC[3]</t>
    <phoneticPr fontId="1" type="noConversion"/>
  </si>
  <si>
    <t>Reserved [4]</t>
  </si>
  <si>
    <t>&lt;Rvd&gt;</t>
  </si>
  <si>
    <t>Reserved [5]</t>
  </si>
  <si>
    <t>Reserved [6]</t>
  </si>
  <si>
    <t>Reserved [7]</t>
  </si>
  <si>
    <t>0x50</t>
    <phoneticPr fontId="1" type="noConversion"/>
  </si>
  <si>
    <t>Local Name "P_LAB" ASCII</t>
    <phoneticPr fontId="1" type="noConversion"/>
  </si>
  <si>
    <t>0x5F</t>
    <phoneticPr fontId="1" type="noConversion"/>
  </si>
  <si>
    <t>0x4C</t>
    <phoneticPr fontId="1" type="noConversion"/>
  </si>
  <si>
    <t>0x41</t>
    <phoneticPr fontId="1" type="noConversion"/>
  </si>
  <si>
    <t>0x42</t>
    <phoneticPr fontId="1" type="noConversion"/>
  </si>
  <si>
    <t>0x64</t>
    <phoneticPr fontId="1" type="noConversion"/>
  </si>
  <si>
    <t>Battery 100%</t>
    <phoneticPr fontId="1" type="noConversion"/>
  </si>
  <si>
    <r>
      <t xml:space="preserve">0x68 74 74 70 </t>
    </r>
    <r>
      <rPr>
        <sz val="11"/>
        <rFont val="맑은 고딕"/>
        <family val="3"/>
        <charset val="129"/>
        <scheme val="minor"/>
      </rPr>
      <t>3A 2F 2F 77 77 77</t>
    </r>
    <r>
      <rPr>
        <sz val="11"/>
        <color theme="1"/>
        <rFont val="맑은 고딕"/>
        <family val="2"/>
        <charset val="129"/>
        <scheme val="minor"/>
      </rPr>
      <t xml:space="preserve"> 
2E 74 72 61 63 65 74 61 67 68 
75 62 2E 69 6F 3A 36 31 30 02 2F</t>
    </r>
    <phoneticPr fontId="1" type="noConversion"/>
  </si>
  <si>
    <t>0x0B</t>
    <phoneticPr fontId="1" type="noConversion"/>
  </si>
  <si>
    <t>Data Count</t>
    <phoneticPr fontId="1" type="noConversion"/>
  </si>
  <si>
    <t>Adv Count</t>
    <phoneticPr fontId="1" type="noConversion"/>
  </si>
  <si>
    <t>Dose Sensing Val</t>
    <phoneticPr fontId="1" type="noConversion"/>
  </si>
  <si>
    <t>4 byte</t>
    <phoneticPr fontId="1" type="noConversion"/>
  </si>
  <si>
    <t>0x00 00 00 07</t>
    <phoneticPr fontId="1" type="noConversion"/>
  </si>
  <si>
    <t>0x00 00 00 02</t>
    <phoneticPr fontId="1" type="noConversion"/>
  </si>
  <si>
    <t>0x00 00 00 15</t>
    <phoneticPr fontId="1" type="noConversion"/>
  </si>
  <si>
    <t>0x00 00 00 03</t>
    <phoneticPr fontId="1" type="noConversion"/>
  </si>
  <si>
    <t>0x00 00 00 04</t>
    <phoneticPr fontId="1" type="noConversion"/>
  </si>
  <si>
    <t>0x00 00 00 05</t>
    <phoneticPr fontId="1" type="noConversion"/>
  </si>
  <si>
    <t>온도</t>
    <phoneticPr fontId="1" type="noConversion"/>
  </si>
  <si>
    <t xml:space="preserve">0x41 C9 33 33 </t>
    <phoneticPr fontId="1" type="noConversion"/>
  </si>
  <si>
    <t>25.15도. Endian 고려해야함.</t>
    <phoneticPr fontId="1" type="noConversion"/>
  </si>
  <si>
    <t>Dose 1번째 Data</t>
    <phoneticPr fontId="1" type="noConversion"/>
  </si>
  <si>
    <t>Dose Data Count 5</t>
    <phoneticPr fontId="1" type="noConversion"/>
  </si>
  <si>
    <t>Dose 2번째 Data</t>
    <phoneticPr fontId="1" type="noConversion"/>
  </si>
  <si>
    <t>Dose 3번째 Data</t>
    <phoneticPr fontId="1" type="noConversion"/>
  </si>
  <si>
    <t>Dose 4번째 Data</t>
    <phoneticPr fontId="1" type="noConversion"/>
  </si>
  <si>
    <t>Dose 5번째 Data</t>
    <phoneticPr fontId="1" type="noConversion"/>
  </si>
  <si>
    <t>0x00 00 00 27</t>
    <phoneticPr fontId="1" type="noConversion"/>
  </si>
  <si>
    <t>0x00 00 00 77</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</si>
</sst>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charset val="129"/>
      <scheme val="minor"/>
    </font>
    <font>
      <sz val="8"/>
      <name val="맑은 고딕"/>
      <family val="2"/>
      <charset val="129"/>
      <scheme val="minor"/>
    </font>
    <font>
      <u/>
      <sz val="11"/>
      <color theme="10"/>
      <name val="맑은 고딕"/>
      <family val="2"/>
      <charset val="129"/>
      <scheme val="minor"/>
    </font>
    <font>
      <strike/>
      <sz val="11"/>
      <color theme="1"/>
      <name val="맑은 고딕"/>
      <family val="2"/>
      <charset val="129"/>
      <scheme val="minor"/>
    </font>
    <font>
      <strike/>
      <sz val="11"/>
      <color theme="1"/>
      <name val="맑은 고딕"/>
      <family val="2"/>
      <scheme val="minor"/>
    </font>
    <font>
      <sz val="11"/>
      <color rgb="FF000000"/>
      <name val="맑은 고딕"/>
      <family val="2"/>
      <scheme val="minor"/>
    </font>
    <font>
      <sz val="11"/>
      <name val="맑은 고딕"/>
      <family val="3"/>
      <charset val="129"/>
      <scheme val="minor"/>
    </font>
  </fonts>
  <fills count="6">
    <fill>
      <patternFill patternType="none"/>
    </fill>
    <fill>
      <patternFill patternType="gray125"/>
    </fill>
    <fill>
      <patternFill patternType="solid">
        <fgColor theme="7" tint="0.79998168889431442"/>
        <bgColor indexed="64"/>
      </patternFill>
    </fill>
    <fill>
      <patternFill patternType="solid">
        <fgColor theme="3" tint="0.89999084444715716"/>
        <bgColor indexed="64"/>
      </patternFill>
    </fill>
    <fill>
      <patternFill patternType="solid">
        <fgColor theme="0" tint="-0.249977111117893"/>
        <bgColor indexed="64"/>
      </patternFill>
    </fill>
    <fill>
      <patternFill patternType="solid">
        <fgColor rgb="FF92D050"/>
        <bgColor indexed="64"/>
      </patternFill>
    </fill>
  </fills>
  <borders count="39">
    <border>
      <left/>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bottom/>
      <diagonal/>
    </border>
    <border>
      <left/>
      <right style="medium">
        <color indexed="64"/>
      </right>
      <top/>
      <bottom/>
      <diagonal/>
    </border>
    <border>
      <left/>
      <right/>
      <top/>
      <bottom style="thin">
        <color indexed="64"/>
      </bottom>
      <diagonal/>
    </border>
    <border>
      <left/>
      <right style="medium">
        <color indexed="64"/>
      </right>
      <top/>
      <bottom style="thin">
        <color indexed="64"/>
      </bottom>
      <diagonal/>
    </border>
    <border>
      <left style="thin">
        <color indexed="64"/>
      </left>
      <right style="thin">
        <color indexed="64"/>
      </right>
      <top/>
      <bottom/>
      <diagonal/>
    </border>
    <border>
      <left/>
      <right/>
      <top style="medium">
        <color indexed="64"/>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17">
    <xf numFmtId="0" fontId="0" fillId="0" borderId="0" xfId="0">
      <alignment vertical="center"/>
    </xf>
    <xf numFmtId="0" fontId="0" fillId="2" borderId="1" xfId="0" applyFill="1" applyBorder="1" applyAlignment="1">
      <alignment horizontal="center" vertical="center"/>
    </xf>
    <xf numFmtId="0" fontId="0" fillId="0" borderId="2" xfId="0" applyBorder="1" applyAlignment="1">
      <alignment horizontal="center" vertical="center"/>
    </xf>
    <xf numFmtId="0" fontId="0" fillId="0" borderId="0" xfId="0" applyAlignment="1">
      <alignment horizontal="center" vertical="center"/>
    </xf>
    <xf numFmtId="0" fontId="0" fillId="2" borderId="4" xfId="0" applyFill="1" applyBorder="1" applyAlignment="1">
      <alignment horizontal="center" vertical="center"/>
    </xf>
    <xf numFmtId="0" fontId="0" fillId="0" borderId="5" xfId="0"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2" borderId="15" xfId="0" applyFill="1" applyBorder="1" applyAlignment="1">
      <alignment horizontal="center" vertical="center"/>
    </xf>
    <xf numFmtId="0" fontId="0" fillId="2" borderId="16" xfId="0" applyFill="1" applyBorder="1" applyAlignment="1">
      <alignment horizontal="center" vertical="center"/>
    </xf>
    <xf numFmtId="0" fontId="0" fillId="2" borderId="11" xfId="0" applyFill="1" applyBorder="1" applyAlignment="1">
      <alignment horizontal="center" vertical="center"/>
    </xf>
    <xf numFmtId="0" fontId="0" fillId="0" borderId="18" xfId="0" applyBorder="1" applyAlignment="1">
      <alignment horizontal="center" vertical="center"/>
    </xf>
    <xf numFmtId="0" fontId="0" fillId="0" borderId="16" xfId="0" applyBorder="1" applyAlignment="1">
      <alignment horizontal="center" vertical="center"/>
    </xf>
    <xf numFmtId="0" fontId="0" fillId="0" borderId="21" xfId="0" applyBorder="1" applyAlignment="1">
      <alignment horizontal="center" vertical="center"/>
    </xf>
    <xf numFmtId="0" fontId="0" fillId="0" borderId="20" xfId="0" applyBorder="1" applyAlignment="1">
      <alignment horizontal="center" vertical="center"/>
    </xf>
    <xf numFmtId="0" fontId="0" fillId="0" borderId="22" xfId="0" applyBorder="1">
      <alignment vertical="center"/>
    </xf>
    <xf numFmtId="0" fontId="0" fillId="0" borderId="23"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0" fillId="0" borderId="11" xfId="0" applyBorder="1">
      <alignment vertical="center"/>
    </xf>
    <xf numFmtId="0" fontId="2" fillId="0" borderId="0" xfId="1">
      <alignment vertical="center"/>
    </xf>
    <xf numFmtId="0" fontId="0" fillId="0" borderId="11" xfId="0"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xf>
    <xf numFmtId="0" fontId="0" fillId="0" borderId="16" xfId="0" applyBorder="1" applyAlignment="1">
      <alignment horizontal="center" vertical="center" wrapText="1"/>
    </xf>
    <xf numFmtId="0" fontId="0" fillId="2" borderId="2" xfId="0" applyFill="1" applyBorder="1" applyAlignment="1">
      <alignment horizontal="center" vertical="center"/>
    </xf>
    <xf numFmtId="0" fontId="3" fillId="0" borderId="0" xfId="0" applyFont="1">
      <alignment vertical="center"/>
    </xf>
    <xf numFmtId="0" fontId="3" fillId="2" borderId="16" xfId="0" applyFont="1" applyFill="1" applyBorder="1" applyAlignment="1">
      <alignment horizontal="center" vertical="center"/>
    </xf>
    <xf numFmtId="0" fontId="4" fillId="2" borderId="16" xfId="0" applyFont="1" applyFill="1" applyBorder="1" applyAlignment="1">
      <alignment horizontal="center" vertical="center"/>
    </xf>
    <xf numFmtId="0" fontId="4" fillId="0" borderId="18" xfId="0" applyFont="1" applyBorder="1" applyAlignment="1">
      <alignment horizontal="center" vertical="center"/>
    </xf>
    <xf numFmtId="0" fontId="4" fillId="0" borderId="16" xfId="0" applyFont="1" applyBorder="1" applyAlignment="1">
      <alignment horizontal="center" vertical="center"/>
    </xf>
    <xf numFmtId="0" fontId="4" fillId="0" borderId="16" xfId="0" applyFont="1" applyBorder="1" applyAlignment="1">
      <alignment horizontal="center" vertical="center" wrapText="1"/>
    </xf>
    <xf numFmtId="0" fontId="4" fillId="0" borderId="0" xfId="0" applyFont="1" applyAlignment="1">
      <alignment horizontal="left" vertical="center"/>
    </xf>
    <xf numFmtId="0" fontId="5" fillId="0" borderId="0" xfId="0" applyFont="1" applyAlignment="1">
      <alignment horizontal="left" vertical="center"/>
    </xf>
    <xf numFmtId="0" fontId="0" fillId="0" borderId="26" xfId="0" applyBorder="1">
      <alignment vertical="center"/>
    </xf>
    <xf numFmtId="0" fontId="4" fillId="0" borderId="26" xfId="0" applyFont="1" applyBorder="1">
      <alignment vertical="center"/>
    </xf>
    <xf numFmtId="0" fontId="0" fillId="0" borderId="16" xfId="0" applyBorder="1">
      <alignment vertical="center"/>
    </xf>
    <xf numFmtId="0" fontId="0" fillId="0" borderId="18" xfId="0" applyBorder="1">
      <alignment vertical="center"/>
    </xf>
    <xf numFmtId="0" fontId="0" fillId="2" borderId="6" xfId="0" applyFill="1" applyBorder="1">
      <alignment vertical="center"/>
    </xf>
    <xf numFmtId="0" fontId="0" fillId="2" borderId="29" xfId="0" applyFill="1" applyBorder="1">
      <alignment vertical="center"/>
    </xf>
    <xf numFmtId="0" fontId="0" fillId="3" borderId="12" xfId="0" applyFill="1" applyBorder="1" applyAlignment="1">
      <alignment horizontal="center" vertical="center"/>
    </xf>
    <xf numFmtId="0" fontId="0" fillId="3" borderId="13" xfId="0" applyFill="1" applyBorder="1" applyAlignment="1">
      <alignment horizontal="center" vertical="center"/>
    </xf>
    <xf numFmtId="0" fontId="0" fillId="0" borderId="26" xfId="0" applyBorder="1" applyAlignment="1">
      <alignment horizontal="center" vertical="center"/>
    </xf>
    <xf numFmtId="0" fontId="0" fillId="4" borderId="24" xfId="0" applyFill="1" applyBorder="1" applyAlignment="1">
      <alignment horizontal="center" vertical="center"/>
    </xf>
    <xf numFmtId="0" fontId="0" fillId="0" borderId="24" xfId="0" applyBorder="1" applyAlignment="1">
      <alignment horizontal="center" vertical="center"/>
    </xf>
    <xf numFmtId="0" fontId="0" fillId="4" borderId="10" xfId="0" applyFill="1" applyBorder="1" applyAlignment="1">
      <alignment horizontal="center" vertical="center"/>
    </xf>
    <xf numFmtId="0" fontId="0" fillId="5" borderId="24" xfId="0" applyFill="1" applyBorder="1" applyAlignment="1">
      <alignment horizontal="center" vertical="center"/>
    </xf>
    <xf numFmtId="0" fontId="0" fillId="5" borderId="26" xfId="0" applyFill="1" applyBorder="1" applyAlignment="1">
      <alignment horizontal="center" vertical="center"/>
    </xf>
    <xf numFmtId="0" fontId="6" fillId="5" borderId="24" xfId="0" applyFont="1" applyFill="1" applyBorder="1" applyAlignment="1">
      <alignment horizontal="center" vertical="center"/>
    </xf>
    <xf numFmtId="0" fontId="0" fillId="2" borderId="10" xfId="0" applyFill="1" applyBorder="1" applyAlignment="1">
      <alignment horizontal="center" vertical="center"/>
    </xf>
    <xf numFmtId="0" fontId="0" fillId="2" borderId="20" xfId="0" applyFill="1" applyBorder="1" applyAlignment="1">
      <alignment horizontal="center" vertical="center"/>
    </xf>
    <xf numFmtId="0" fontId="0" fillId="4" borderId="26" xfId="0" applyFill="1" applyBorder="1" applyAlignment="1">
      <alignment horizontal="left" vertical="center"/>
    </xf>
    <xf numFmtId="0" fontId="0" fillId="4" borderId="25" xfId="0" applyFill="1" applyBorder="1" applyAlignment="1">
      <alignment horizontal="left" vertical="center"/>
    </xf>
    <xf numFmtId="0" fontId="0" fillId="4" borderId="16" xfId="0" applyFill="1" applyBorder="1" applyAlignment="1">
      <alignment horizontal="left" vertical="center"/>
    </xf>
    <xf numFmtId="0" fontId="0" fillId="4" borderId="11" xfId="0" applyFill="1" applyBorder="1" applyAlignment="1">
      <alignment horizontal="left" vertical="center"/>
    </xf>
    <xf numFmtId="0" fontId="0" fillId="5" borderId="26" xfId="0" applyFill="1" applyBorder="1" applyAlignment="1">
      <alignment horizontal="left" vertical="center"/>
    </xf>
    <xf numFmtId="0" fontId="0" fillId="5" borderId="25" xfId="0" applyFill="1" applyBorder="1" applyAlignment="1">
      <alignment horizontal="left" vertical="center"/>
    </xf>
    <xf numFmtId="0" fontId="0" fillId="4" borderId="28" xfId="0" applyFill="1" applyBorder="1" applyAlignment="1">
      <alignment horizontal="center" vertical="center"/>
    </xf>
    <xf numFmtId="0" fontId="0" fillId="4" borderId="37" xfId="0" applyFill="1" applyBorder="1" applyAlignment="1">
      <alignment horizontal="center" vertical="center"/>
    </xf>
    <xf numFmtId="0" fontId="0" fillId="4" borderId="17" xfId="0" applyFill="1" applyBorder="1" applyAlignment="1">
      <alignment horizontal="center" vertical="center"/>
    </xf>
    <xf numFmtId="0" fontId="0" fillId="5" borderId="28" xfId="0" applyFill="1" applyBorder="1" applyAlignment="1">
      <alignment horizontal="center" vertical="center"/>
    </xf>
    <xf numFmtId="0" fontId="0" fillId="5" borderId="37" xfId="0" applyFill="1" applyBorder="1" applyAlignment="1">
      <alignment horizontal="center" vertical="center"/>
    </xf>
    <xf numFmtId="0" fontId="0" fillId="5" borderId="18" xfId="0" applyFill="1" applyBorder="1" applyAlignment="1">
      <alignment horizontal="center" vertical="center"/>
    </xf>
    <xf numFmtId="0" fontId="0" fillId="0" borderId="26" xfId="0" applyBorder="1" applyAlignment="1">
      <alignment horizontal="left" vertical="center"/>
    </xf>
    <xf numFmtId="0" fontId="0" fillId="0" borderId="25" xfId="0" applyBorder="1" applyAlignment="1">
      <alignment horizontal="left" vertical="center"/>
    </xf>
    <xf numFmtId="0" fontId="0" fillId="0" borderId="26" xfId="0" applyBorder="1" applyAlignment="1">
      <alignment horizontal="center" vertical="center"/>
    </xf>
    <xf numFmtId="0" fontId="0" fillId="0" borderId="25" xfId="0" applyBorder="1" applyAlignment="1">
      <alignment horizontal="center" vertical="center"/>
    </xf>
    <xf numFmtId="0" fontId="0" fillId="0" borderId="30" xfId="0" applyBorder="1" applyAlignment="1">
      <alignment horizontal="left" vertical="center"/>
    </xf>
    <xf numFmtId="0" fontId="0" fillId="0" borderId="31" xfId="0" applyBorder="1" applyAlignment="1">
      <alignment horizontal="left" vertical="center"/>
    </xf>
    <xf numFmtId="0" fontId="0" fillId="0" borderId="32" xfId="0" applyBorder="1" applyAlignment="1">
      <alignment horizontal="left" vertical="center"/>
    </xf>
    <xf numFmtId="0" fontId="0" fillId="0" borderId="33" xfId="0" applyBorder="1" applyAlignment="1">
      <alignment horizontal="left" vertical="center"/>
    </xf>
    <xf numFmtId="0" fontId="0" fillId="0" borderId="0" xfId="0" applyAlignment="1">
      <alignment horizontal="left" vertical="center"/>
    </xf>
    <xf numFmtId="0" fontId="0" fillId="0" borderId="34" xfId="0" applyBorder="1" applyAlignment="1">
      <alignment horizontal="left" vertical="center"/>
    </xf>
    <xf numFmtId="0" fontId="0" fillId="0" borderId="21" xfId="0" applyBorder="1" applyAlignment="1">
      <alignment horizontal="left" vertical="center"/>
    </xf>
    <xf numFmtId="0" fontId="0" fillId="0" borderId="35" xfId="0" applyBorder="1" applyAlignment="1">
      <alignment horizontal="left" vertical="center"/>
    </xf>
    <xf numFmtId="0" fontId="0" fillId="0" borderId="36" xfId="0" applyBorder="1" applyAlignment="1">
      <alignment horizontal="left" vertical="center"/>
    </xf>
    <xf numFmtId="0" fontId="0" fillId="0" borderId="4" xfId="0" applyBorder="1" applyAlignment="1">
      <alignment horizontal="center" vertical="center"/>
    </xf>
    <xf numFmtId="0" fontId="0" fillId="0" borderId="27" xfId="0" applyBorder="1" applyAlignment="1">
      <alignment horizontal="center" vertical="center"/>
    </xf>
    <xf numFmtId="0" fontId="0" fillId="2" borderId="12" xfId="0" applyFill="1" applyBorder="1" applyAlignment="1">
      <alignment horizontal="center" vertical="center"/>
    </xf>
    <xf numFmtId="0" fontId="0" fillId="2" borderId="10" xfId="0" applyFill="1" applyBorder="1" applyAlignment="1">
      <alignment horizontal="center" vertical="center"/>
    </xf>
    <xf numFmtId="0" fontId="0" fillId="2" borderId="13" xfId="0" applyFill="1" applyBorder="1" applyAlignment="1">
      <alignment horizontal="center" vertical="center"/>
    </xf>
    <xf numFmtId="0" fontId="0" fillId="2" borderId="16" xfId="0" applyFill="1" applyBorder="1" applyAlignment="1">
      <alignment horizontal="center" vertical="center"/>
    </xf>
    <xf numFmtId="0" fontId="0" fillId="2" borderId="19" xfId="0" applyFill="1" applyBorder="1" applyAlignment="1">
      <alignment horizontal="center" vertical="center"/>
    </xf>
    <xf numFmtId="0" fontId="0" fillId="2" borderId="20" xfId="0" applyFill="1" applyBorder="1" applyAlignment="1">
      <alignment horizontal="center" vertical="center"/>
    </xf>
    <xf numFmtId="0" fontId="0" fillId="3" borderId="13" xfId="0" applyFill="1" applyBorder="1" applyAlignment="1">
      <alignment horizontal="center" vertical="center"/>
    </xf>
    <xf numFmtId="0" fontId="0" fillId="3" borderId="15" xfId="0" applyFill="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2" borderId="15" xfId="0" applyFill="1" applyBorder="1" applyAlignment="1">
      <alignment horizontal="center" vertical="center"/>
    </xf>
    <xf numFmtId="0" fontId="0" fillId="0" borderId="24" xfId="0" applyBorder="1" applyAlignment="1">
      <alignment horizontal="left" vertical="center"/>
    </xf>
    <xf numFmtId="0" fontId="0" fillId="0" borderId="10" xfId="0" applyBorder="1" applyAlignment="1">
      <alignment horizontal="left" vertical="center"/>
    </xf>
    <xf numFmtId="0" fontId="0" fillId="0" borderId="16" xfId="0" applyBorder="1" applyAlignment="1">
      <alignment horizontal="left" vertical="center"/>
    </xf>
    <xf numFmtId="0" fontId="0" fillId="0" borderId="11" xfId="0" applyBorder="1" applyAlignment="1">
      <alignment horizontal="left" vertical="center"/>
    </xf>
    <xf numFmtId="0" fontId="3" fillId="0" borderId="24" xfId="0" applyFont="1" applyBorder="1" applyAlignment="1">
      <alignment horizontal="left" vertical="center"/>
    </xf>
    <xf numFmtId="0" fontId="4" fillId="0" borderId="24" xfId="0" applyFont="1" applyBorder="1" applyAlignment="1">
      <alignment horizontal="left" vertical="center"/>
    </xf>
    <xf numFmtId="0" fontId="4" fillId="0" borderId="26" xfId="0" applyFont="1" applyBorder="1" applyAlignment="1">
      <alignment horizontal="left" vertical="center"/>
    </xf>
    <xf numFmtId="0" fontId="4" fillId="0" borderId="25" xfId="0" applyFont="1" applyBorder="1" applyAlignment="1">
      <alignment horizontal="left" vertical="center"/>
    </xf>
    <xf numFmtId="0" fontId="0" fillId="2" borderId="29" xfId="0" applyFill="1" applyBorder="1" applyAlignment="1">
      <alignment horizontal="center" vertical="center"/>
    </xf>
    <xf numFmtId="0" fontId="0" fillId="2" borderId="7" xfId="0" applyFill="1" applyBorder="1" applyAlignment="1">
      <alignment horizontal="center" vertical="center"/>
    </xf>
    <xf numFmtId="0" fontId="0" fillId="0" borderId="8" xfId="0" applyBorder="1" applyAlignment="1">
      <alignment horizontal="left" vertical="center"/>
    </xf>
    <xf numFmtId="0" fontId="0" fillId="0" borderId="18" xfId="0" applyBorder="1" applyAlignment="1">
      <alignment horizontal="left" vertical="center"/>
    </xf>
    <xf numFmtId="0" fontId="0" fillId="0" borderId="9" xfId="0" applyBorder="1" applyAlignment="1">
      <alignment horizontal="left" vertical="center"/>
    </xf>
    <xf numFmtId="0" fontId="0" fillId="2" borderId="1" xfId="0" applyFill="1" applyBorder="1" applyAlignment="1">
      <alignment horizontal="center" vertical="center"/>
    </xf>
    <xf numFmtId="0" fontId="0" fillId="2" borderId="3" xfId="0" applyFill="1" applyBorder="1" applyAlignment="1">
      <alignment horizontal="center" vertical="center"/>
    </xf>
    <xf numFmtId="0" fontId="0" fillId="0" borderId="0" xfId="0" applyAlignment="1">
      <alignment horizontal="center" vertical="center"/>
    </xf>
    <xf numFmtId="0" fontId="0" fillId="2" borderId="14" xfId="0" applyFill="1" applyBorder="1" applyAlignment="1">
      <alignment horizontal="center" vertical="center"/>
    </xf>
    <xf numFmtId="0" fontId="0" fillId="2" borderId="17" xfId="0" applyFill="1" applyBorder="1" applyAlignment="1">
      <alignment horizontal="center" vertical="center"/>
    </xf>
    <xf numFmtId="0" fontId="0" fillId="2" borderId="11" xfId="0" applyFill="1" applyBorder="1" applyAlignment="1">
      <alignment horizontal="center" vertical="center"/>
    </xf>
    <xf numFmtId="0" fontId="0" fillId="0" borderId="20" xfId="0" applyBorder="1" applyAlignment="1">
      <alignment horizontal="center" vertical="center" wrapText="1"/>
    </xf>
    <xf numFmtId="9" fontId="5" fillId="0" borderId="0" xfId="0" applyNumberFormat="1" applyFont="1" applyAlignment="1">
      <alignment horizontal="left" vertical="center"/>
    </xf>
    <xf numFmtId="0" fontId="0" fillId="0" borderId="10" xfId="0" applyBorder="1" applyAlignment="1">
      <alignment horizontal="center" vertical="center" wrapText="1"/>
    </xf>
    <xf numFmtId="0" fontId="5" fillId="0" borderId="38" xfId="0" applyFont="1" applyBorder="1" applyAlignment="1">
      <alignment horizontal="center" vertical="center"/>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7</xdr:col>
      <xdr:colOff>986118</xdr:colOff>
      <xdr:row>8</xdr:row>
      <xdr:rowOff>17554</xdr:rowOff>
    </xdr:from>
    <xdr:to>
      <xdr:col>9</xdr:col>
      <xdr:colOff>627530</xdr:colOff>
      <xdr:row>28</xdr:row>
      <xdr:rowOff>8029</xdr:rowOff>
    </xdr:to>
    <xdr:sp macro="" textlink="">
      <xdr:nvSpPr>
        <xdr:cNvPr id="11" name="화살표: 굽음 10">
          <a:extLst>
            <a:ext uri="{FF2B5EF4-FFF2-40B4-BE49-F238E27FC236}">
              <a16:creationId xmlns:a16="http://schemas.microsoft.com/office/drawing/2014/main" id="{2ABB885B-DF29-44C9-F9AF-7099B9DF7925}"/>
            </a:ext>
          </a:extLst>
        </xdr:cNvPr>
        <xdr:cNvSpPr/>
      </xdr:nvSpPr>
      <xdr:spPr>
        <a:xfrm flipV="1">
          <a:off x="7474324" y="2247525"/>
          <a:ext cx="4179794" cy="4472828"/>
        </a:xfrm>
        <a:prstGeom prst="ben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solidFill>
              <a:schemeClr val="tx1"/>
            </a:solidFill>
          </a:endParaRPr>
        </a:p>
      </xdr:txBody>
    </xdr:sp>
    <xdr:clientData/>
  </xdr:twoCellAnchor>
  <xdr:twoCellAnchor>
    <xdr:from>
      <xdr:col>6</xdr:col>
      <xdr:colOff>230466</xdr:colOff>
      <xdr:row>11</xdr:row>
      <xdr:rowOff>65553</xdr:rowOff>
    </xdr:from>
    <xdr:to>
      <xdr:col>8</xdr:col>
      <xdr:colOff>291353</xdr:colOff>
      <xdr:row>18</xdr:row>
      <xdr:rowOff>81616</xdr:rowOff>
    </xdr:to>
    <xdr:sp macro="" textlink="">
      <xdr:nvSpPr>
        <xdr:cNvPr id="12" name="TextBox 11">
          <a:extLst>
            <a:ext uri="{FF2B5EF4-FFF2-40B4-BE49-F238E27FC236}">
              <a16:creationId xmlns:a16="http://schemas.microsoft.com/office/drawing/2014/main" id="{F46A575D-238F-1798-3127-C5AD772AF56E}"/>
            </a:ext>
          </a:extLst>
        </xdr:cNvPr>
        <xdr:cNvSpPr txBox="1"/>
      </xdr:nvSpPr>
      <xdr:spPr>
        <a:xfrm>
          <a:off x="5508437" y="2967877"/>
          <a:ext cx="5148357" cy="15848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600"/>
            <a:t>15(14)</a:t>
          </a:r>
          <a:r>
            <a:rPr lang="ko-KR" altLang="en-US" sz="1600"/>
            <a:t>번째 </a:t>
          </a:r>
          <a:r>
            <a:rPr lang="en-US" altLang="ko-KR" sz="1600"/>
            <a:t>: Battery </a:t>
          </a:r>
          <a:r>
            <a:rPr lang="ko-KR" altLang="en-US" sz="1600"/>
            <a:t>량 </a:t>
          </a:r>
          <a:r>
            <a:rPr lang="en-US" altLang="ko-KR" sz="1600"/>
            <a:t>0 ~ 100</a:t>
          </a:r>
          <a:r>
            <a:rPr lang="en-US" altLang="ko-KR" sz="1600" baseline="0"/>
            <a:t> %</a:t>
          </a:r>
        </a:p>
        <a:p>
          <a:r>
            <a:rPr lang="en-US" altLang="ko-KR" sz="1600" baseline="0"/>
            <a:t>16(15) ~ 17(16) </a:t>
          </a:r>
          <a:r>
            <a:rPr lang="ko-KR" altLang="en-US" sz="1600" baseline="0"/>
            <a:t>번째 </a:t>
          </a:r>
          <a:r>
            <a:rPr lang="en-US" altLang="ko-KR" sz="1600" baseline="0"/>
            <a:t>: 24.56 </a:t>
          </a:r>
          <a:r>
            <a:rPr lang="ko-KR" altLang="en-US" sz="1600" baseline="0"/>
            <a:t>이면  </a:t>
          </a:r>
          <a:r>
            <a:rPr lang="en-US" altLang="ko-KR" sz="1600" baseline="0"/>
            <a:t>(15):0x18 (16):0x38</a:t>
          </a:r>
        </a:p>
        <a:p>
          <a:r>
            <a:rPr lang="en-US" altLang="ko-KR" sz="1600" baseline="0"/>
            <a:t>18(17) ~ 20(19) </a:t>
          </a:r>
          <a:r>
            <a:rPr lang="ko-KR" altLang="en-US" sz="1600" baseline="0"/>
            <a:t>번째 </a:t>
          </a:r>
          <a:r>
            <a:rPr lang="en-US" altLang="ko-KR" sz="1600" baseline="0"/>
            <a:t>: advertising count 1 ~ xxxx</a:t>
          </a:r>
        </a:p>
        <a:p>
          <a:r>
            <a:rPr lang="en-US" altLang="ko-KR" sz="1600" baseline="0"/>
            <a:t>21(20) ~ 24(23) </a:t>
          </a:r>
          <a:r>
            <a:rPr lang="ko-KR" altLang="en-US" sz="1600" baseline="0"/>
            <a:t>번째 </a:t>
          </a:r>
          <a:r>
            <a:rPr lang="en-US" altLang="ko-KR" sz="1600" baseline="0"/>
            <a:t>: </a:t>
          </a:r>
          <a:r>
            <a:rPr lang="ko-KR" altLang="en-US" sz="1600" baseline="0"/>
            <a:t>선량계 </a:t>
          </a:r>
          <a:r>
            <a:rPr lang="en-US" altLang="ko-KR" sz="1600" baseline="0"/>
            <a:t>Data 4 Byte</a:t>
          </a:r>
          <a:endParaRPr lang="ko-KR" altLang="en-US" sz="16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533025</xdr:colOff>
      <xdr:row>22</xdr:row>
      <xdr:rowOff>180787</xdr:rowOff>
    </xdr:from>
    <xdr:to>
      <xdr:col>5</xdr:col>
      <xdr:colOff>406586</xdr:colOff>
      <xdr:row>29</xdr:row>
      <xdr:rowOff>196850</xdr:rowOff>
    </xdr:to>
    <xdr:sp macro="" textlink="">
      <xdr:nvSpPr>
        <xdr:cNvPr id="3" name="TextBox 2">
          <a:extLst>
            <a:ext uri="{FF2B5EF4-FFF2-40B4-BE49-F238E27FC236}">
              <a16:creationId xmlns:a16="http://schemas.microsoft.com/office/drawing/2014/main" id="{0DC8EC51-A2ED-4815-93A3-40BC3FC5DC91}"/>
            </a:ext>
          </a:extLst>
        </xdr:cNvPr>
        <xdr:cNvSpPr txBox="1"/>
      </xdr:nvSpPr>
      <xdr:spPr>
        <a:xfrm>
          <a:off x="533025" y="5548405"/>
          <a:ext cx="5151532" cy="15848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600"/>
            <a:t>15(14)</a:t>
          </a:r>
          <a:r>
            <a:rPr lang="ko-KR" altLang="en-US" sz="1600"/>
            <a:t>번째 </a:t>
          </a:r>
          <a:r>
            <a:rPr lang="en-US" altLang="ko-KR" sz="1600"/>
            <a:t>: Battery </a:t>
          </a:r>
          <a:r>
            <a:rPr lang="ko-KR" altLang="en-US" sz="1600"/>
            <a:t>량 </a:t>
          </a:r>
          <a:r>
            <a:rPr lang="en-US" altLang="ko-KR" sz="1600"/>
            <a:t>0 ~ 100</a:t>
          </a:r>
          <a:r>
            <a:rPr lang="en-US" altLang="ko-KR" sz="1600" baseline="0"/>
            <a:t> %</a:t>
          </a:r>
        </a:p>
        <a:p>
          <a:r>
            <a:rPr lang="en-US" altLang="ko-KR" sz="1600" baseline="0"/>
            <a:t>16(15) ~ 17(16) </a:t>
          </a:r>
          <a:r>
            <a:rPr lang="ko-KR" altLang="en-US" sz="1600" baseline="0"/>
            <a:t>번째 </a:t>
          </a:r>
          <a:r>
            <a:rPr lang="en-US" altLang="ko-KR" sz="1600" baseline="0"/>
            <a:t>: 24.56 </a:t>
          </a:r>
          <a:r>
            <a:rPr lang="ko-KR" altLang="en-US" sz="1600" baseline="0"/>
            <a:t>이면  </a:t>
          </a:r>
          <a:r>
            <a:rPr lang="en-US" altLang="ko-KR" sz="1600" baseline="0"/>
            <a:t>(15):0x18 (16):0x38</a:t>
          </a:r>
        </a:p>
        <a:p>
          <a:r>
            <a:rPr lang="en-US" altLang="ko-KR" sz="1600" baseline="0"/>
            <a:t>18(17) ~ 20(19) </a:t>
          </a:r>
          <a:r>
            <a:rPr lang="ko-KR" altLang="en-US" sz="1600" baseline="0"/>
            <a:t>번째 </a:t>
          </a:r>
          <a:r>
            <a:rPr lang="en-US" altLang="ko-KR" sz="1600" baseline="0"/>
            <a:t>: advertising count 1 ~ xxxx</a:t>
          </a:r>
        </a:p>
        <a:p>
          <a:r>
            <a:rPr lang="en-US" altLang="ko-KR" sz="1600" baseline="0"/>
            <a:t>21(20) ~ 24(23) </a:t>
          </a:r>
          <a:r>
            <a:rPr lang="ko-KR" altLang="en-US" sz="1600" baseline="0"/>
            <a:t>번째 </a:t>
          </a:r>
          <a:r>
            <a:rPr lang="en-US" altLang="ko-KR" sz="1600" baseline="0"/>
            <a:t>: </a:t>
          </a:r>
          <a:r>
            <a:rPr lang="ko-KR" altLang="en-US" sz="1600" baseline="0"/>
            <a:t>선량계 </a:t>
          </a:r>
          <a:r>
            <a:rPr lang="en-US" altLang="ko-KR" sz="1600" baseline="0"/>
            <a:t>Data 4 Byte</a:t>
          </a:r>
          <a:endParaRPr lang="ko-KR" altLang="en-US" sz="1600"/>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8A600-9A48-4F7F-9348-110B6807449E}">
  <sheetPr codeName="Sheet1"/>
  <dimension ref="B4:K63"/>
  <sheetViews>
    <sheetView topLeftCell="A39" workbookViewId="0">
      <selection activeCell="P57" sqref="P57"/>
    </sheetView>
  </sheetViews>
  <sheetFormatPr defaultRowHeight="17" x14ac:dyDescent="0.45"/>
  <cols>
    <col min="2" max="2" width="10.08203125" bestFit="1" customWidth="1"/>
    <col min="11" max="11" width="11.1640625" bestFit="1" customWidth="1"/>
  </cols>
  <sheetData>
    <row r="4" spans="2:4" x14ac:dyDescent="0.45">
      <c r="B4" t="s">
        <v>3</v>
      </c>
      <c r="C4" t="s">
        <v>34</v>
      </c>
    </row>
    <row r="5" spans="2:4" x14ac:dyDescent="0.45">
      <c r="B5" t="s">
        <v>4</v>
      </c>
      <c r="C5" t="s">
        <v>60</v>
      </c>
    </row>
    <row r="6" spans="2:4" x14ac:dyDescent="0.45">
      <c r="B6" t="s">
        <v>26</v>
      </c>
      <c r="C6" t="s">
        <v>35</v>
      </c>
    </row>
    <row r="7" spans="2:4" x14ac:dyDescent="0.45">
      <c r="B7" t="s">
        <v>5</v>
      </c>
      <c r="C7" t="s">
        <v>36</v>
      </c>
    </row>
    <row r="8" spans="2:4" x14ac:dyDescent="0.45">
      <c r="B8" t="s">
        <v>27</v>
      </c>
      <c r="C8" t="s">
        <v>61</v>
      </c>
    </row>
    <row r="9" spans="2:4" x14ac:dyDescent="0.45">
      <c r="B9" t="s">
        <v>28</v>
      </c>
      <c r="C9" t="s">
        <v>20</v>
      </c>
    </row>
    <row r="10" spans="2:4" x14ac:dyDescent="0.45">
      <c r="B10" t="s">
        <v>29</v>
      </c>
      <c r="C10" t="s">
        <v>47</v>
      </c>
    </row>
    <row r="12" spans="2:4" x14ac:dyDescent="0.45">
      <c r="B12" t="s">
        <v>21</v>
      </c>
      <c r="C12" t="s">
        <v>3</v>
      </c>
      <c r="D12" t="s">
        <v>10</v>
      </c>
    </row>
    <row r="13" spans="2:4" x14ac:dyDescent="0.45">
      <c r="C13" t="s">
        <v>4</v>
      </c>
      <c r="D13" t="s">
        <v>13</v>
      </c>
    </row>
    <row r="14" spans="2:4" x14ac:dyDescent="0.45">
      <c r="C14" t="s">
        <v>26</v>
      </c>
      <c r="D14" t="s">
        <v>73</v>
      </c>
    </row>
    <row r="17" spans="2:11" ht="17.5" thickBot="1" x14ac:dyDescent="0.5">
      <c r="B17" t="s">
        <v>128</v>
      </c>
    </row>
    <row r="18" spans="2:11" ht="17.5" thickBot="1" x14ac:dyDescent="0.5">
      <c r="B18" s="43" t="s">
        <v>9</v>
      </c>
      <c r="C18" s="44" t="s">
        <v>21</v>
      </c>
      <c r="D18" s="102" t="s">
        <v>22</v>
      </c>
      <c r="E18" s="102"/>
      <c r="F18" s="102"/>
      <c r="G18" s="102"/>
      <c r="H18" s="103"/>
      <c r="J18" s="107" t="s">
        <v>23</v>
      </c>
      <c r="K18" s="108"/>
    </row>
    <row r="19" spans="2:11" ht="17.5" thickBot="1" x14ac:dyDescent="0.5">
      <c r="B19" s="104" t="s">
        <v>3</v>
      </c>
      <c r="C19" s="42" t="s">
        <v>3</v>
      </c>
      <c r="D19" s="105" t="s">
        <v>32</v>
      </c>
      <c r="E19" s="105"/>
      <c r="F19" s="105"/>
      <c r="G19" s="105"/>
      <c r="H19" s="106"/>
      <c r="J19" s="19" t="s">
        <v>7</v>
      </c>
      <c r="K19" s="20" t="s">
        <v>22</v>
      </c>
    </row>
    <row r="20" spans="2:11" x14ac:dyDescent="0.45">
      <c r="B20" s="94"/>
      <c r="C20" s="39" t="s">
        <v>4</v>
      </c>
      <c r="D20" s="68" t="s">
        <v>33</v>
      </c>
      <c r="E20" s="68"/>
      <c r="F20" s="68"/>
      <c r="G20" s="68"/>
      <c r="H20" s="69"/>
      <c r="J20" s="21" t="s">
        <v>2</v>
      </c>
      <c r="K20" s="22" t="s">
        <v>24</v>
      </c>
    </row>
    <row r="21" spans="2:11" ht="17.5" thickBot="1" x14ac:dyDescent="0.5">
      <c r="B21" s="94" t="s">
        <v>4</v>
      </c>
      <c r="C21" s="39" t="s">
        <v>3</v>
      </c>
      <c r="D21" s="68" t="s">
        <v>106</v>
      </c>
      <c r="E21" s="68"/>
      <c r="F21" s="68"/>
      <c r="G21" s="68"/>
      <c r="H21" s="69"/>
      <c r="J21" s="23" t="s">
        <v>3</v>
      </c>
      <c r="K21" s="24" t="s">
        <v>25</v>
      </c>
    </row>
    <row r="22" spans="2:11" x14ac:dyDescent="0.45">
      <c r="B22" s="94"/>
      <c r="C22" s="39" t="s">
        <v>4</v>
      </c>
      <c r="D22" s="68" t="s">
        <v>38</v>
      </c>
      <c r="E22" s="68"/>
      <c r="F22" s="68"/>
      <c r="G22" s="68"/>
      <c r="H22" s="69"/>
    </row>
    <row r="23" spans="2:11" x14ac:dyDescent="0.45">
      <c r="B23" s="98" t="s">
        <v>26</v>
      </c>
      <c r="C23" s="40" t="s">
        <v>3</v>
      </c>
      <c r="D23" s="100" t="s">
        <v>39</v>
      </c>
      <c r="E23" s="100"/>
      <c r="F23" s="100"/>
      <c r="G23" s="100"/>
      <c r="H23" s="101"/>
    </row>
    <row r="24" spans="2:11" x14ac:dyDescent="0.45">
      <c r="B24" s="99"/>
      <c r="C24" s="40" t="s">
        <v>4</v>
      </c>
      <c r="D24" s="100" t="s">
        <v>40</v>
      </c>
      <c r="E24" s="100"/>
      <c r="F24" s="100"/>
      <c r="G24" s="100"/>
      <c r="H24" s="101"/>
    </row>
    <row r="25" spans="2:11" x14ac:dyDescent="0.45">
      <c r="B25" s="94" t="s">
        <v>5</v>
      </c>
      <c r="C25" s="39" t="s">
        <v>3</v>
      </c>
      <c r="D25" s="68" t="s">
        <v>41</v>
      </c>
      <c r="E25" s="68"/>
      <c r="F25" s="68"/>
      <c r="G25" s="68"/>
      <c r="H25" s="69"/>
    </row>
    <row r="26" spans="2:11" x14ac:dyDescent="0.45">
      <c r="B26" s="94"/>
      <c r="C26" s="39" t="s">
        <v>4</v>
      </c>
      <c r="D26" s="68" t="s">
        <v>42</v>
      </c>
      <c r="E26" s="68"/>
      <c r="F26" s="68"/>
      <c r="G26" s="68"/>
      <c r="H26" s="69"/>
    </row>
    <row r="27" spans="2:11" x14ac:dyDescent="0.45">
      <c r="B27" s="94" t="s">
        <v>27</v>
      </c>
      <c r="C27" s="39" t="s">
        <v>3</v>
      </c>
      <c r="D27" s="68" t="s">
        <v>43</v>
      </c>
      <c r="E27" s="68"/>
      <c r="F27" s="68"/>
      <c r="G27" s="68"/>
      <c r="H27" s="69"/>
    </row>
    <row r="28" spans="2:11" x14ac:dyDescent="0.45">
      <c r="B28" s="94"/>
      <c r="C28" s="39" t="s">
        <v>4</v>
      </c>
      <c r="D28" s="68" t="s">
        <v>44</v>
      </c>
      <c r="E28" s="68"/>
      <c r="F28" s="68"/>
      <c r="G28" s="68"/>
      <c r="H28" s="69"/>
    </row>
    <row r="29" spans="2:11" x14ac:dyDescent="0.45">
      <c r="B29" s="94" t="s">
        <v>28</v>
      </c>
      <c r="C29" s="39" t="s">
        <v>3</v>
      </c>
      <c r="D29" s="68" t="s">
        <v>45</v>
      </c>
      <c r="E29" s="68"/>
      <c r="F29" s="68"/>
      <c r="G29" s="68"/>
      <c r="H29" s="69"/>
    </row>
    <row r="30" spans="2:11" x14ac:dyDescent="0.45">
      <c r="B30" s="94"/>
      <c r="C30" s="39" t="s">
        <v>4</v>
      </c>
      <c r="D30" s="68" t="s">
        <v>46</v>
      </c>
      <c r="E30" s="68"/>
      <c r="F30" s="68"/>
      <c r="G30" s="68"/>
      <c r="H30" s="69"/>
    </row>
    <row r="31" spans="2:11" x14ac:dyDescent="0.45">
      <c r="B31" s="94" t="s">
        <v>29</v>
      </c>
      <c r="C31" s="39" t="s">
        <v>3</v>
      </c>
      <c r="D31" s="68" t="s">
        <v>105</v>
      </c>
      <c r="E31" s="68"/>
      <c r="F31" s="68"/>
      <c r="G31" s="68"/>
      <c r="H31" s="69"/>
    </row>
    <row r="32" spans="2:11" x14ac:dyDescent="0.45">
      <c r="B32" s="94"/>
      <c r="C32" s="39" t="s">
        <v>4</v>
      </c>
      <c r="D32" s="68" t="s">
        <v>49</v>
      </c>
      <c r="E32" s="68"/>
      <c r="F32" s="68"/>
      <c r="G32" s="68"/>
      <c r="H32" s="69"/>
    </row>
    <row r="33" spans="2:8" x14ac:dyDescent="0.45">
      <c r="B33" s="94" t="s">
        <v>30</v>
      </c>
      <c r="C33" s="39" t="s">
        <v>26</v>
      </c>
      <c r="D33" s="68" t="s">
        <v>93</v>
      </c>
      <c r="E33" s="68"/>
      <c r="F33" s="68"/>
      <c r="G33" s="68"/>
      <c r="H33" s="69"/>
    </row>
    <row r="34" spans="2:8" x14ac:dyDescent="0.45">
      <c r="B34" s="94"/>
      <c r="C34" s="39" t="s">
        <v>4</v>
      </c>
      <c r="D34" s="68" t="s">
        <v>94</v>
      </c>
      <c r="E34" s="68"/>
      <c r="F34" s="68"/>
      <c r="G34" s="68"/>
      <c r="H34" s="69"/>
    </row>
    <row r="35" spans="2:8" x14ac:dyDescent="0.45">
      <c r="B35" s="94" t="s">
        <v>31</v>
      </c>
      <c r="C35" s="39" t="s">
        <v>3</v>
      </c>
      <c r="D35" s="68" t="s">
        <v>99</v>
      </c>
      <c r="E35" s="68"/>
      <c r="F35" s="68"/>
      <c r="G35" s="68"/>
      <c r="H35" s="69"/>
    </row>
    <row r="36" spans="2:8" x14ac:dyDescent="0.45">
      <c r="B36" s="94"/>
      <c r="C36" s="39" t="s">
        <v>4</v>
      </c>
      <c r="D36" s="68" t="s">
        <v>100</v>
      </c>
      <c r="E36" s="68"/>
      <c r="F36" s="68"/>
      <c r="G36" s="68"/>
      <c r="H36" s="69"/>
    </row>
    <row r="37" spans="2:8" x14ac:dyDescent="0.45">
      <c r="B37" s="94" t="s">
        <v>112</v>
      </c>
      <c r="C37" s="39" t="s">
        <v>113</v>
      </c>
      <c r="D37" s="68" t="s">
        <v>114</v>
      </c>
      <c r="E37" s="68"/>
      <c r="F37" s="68"/>
      <c r="G37" s="68"/>
      <c r="H37" s="69"/>
    </row>
    <row r="38" spans="2:8" ht="17.5" thickBot="1" x14ac:dyDescent="0.5">
      <c r="B38" s="95"/>
      <c r="C38" s="41" t="s">
        <v>4</v>
      </c>
      <c r="D38" s="96" t="s">
        <v>115</v>
      </c>
      <c r="E38" s="96"/>
      <c r="F38" s="96"/>
      <c r="G38" s="96"/>
      <c r="H38" s="97"/>
    </row>
    <row r="42" spans="2:8" ht="17.5" thickBot="1" x14ac:dyDescent="0.5"/>
    <row r="43" spans="2:8" ht="17.5" thickBot="1" x14ac:dyDescent="0.5">
      <c r="B43" s="43" t="s">
        <v>9</v>
      </c>
      <c r="C43" s="44" t="s">
        <v>21</v>
      </c>
      <c r="D43" s="102" t="s">
        <v>22</v>
      </c>
      <c r="E43" s="102"/>
      <c r="F43" s="102"/>
      <c r="G43" s="102"/>
      <c r="H43" s="103"/>
    </row>
    <row r="44" spans="2:8" x14ac:dyDescent="0.45">
      <c r="B44" s="104" t="s">
        <v>3</v>
      </c>
      <c r="C44" s="42" t="s">
        <v>3</v>
      </c>
      <c r="D44" s="105" t="s">
        <v>32</v>
      </c>
      <c r="E44" s="105"/>
      <c r="F44" s="105"/>
      <c r="G44" s="105"/>
      <c r="H44" s="106"/>
    </row>
    <row r="45" spans="2:8" x14ac:dyDescent="0.45">
      <c r="B45" s="94"/>
      <c r="C45" s="39" t="s">
        <v>4</v>
      </c>
      <c r="D45" s="68" t="s">
        <v>33</v>
      </c>
      <c r="E45" s="68"/>
      <c r="F45" s="68"/>
      <c r="G45" s="68"/>
      <c r="H45" s="69"/>
    </row>
    <row r="46" spans="2:8" x14ac:dyDescent="0.45">
      <c r="B46" s="94" t="s">
        <v>4</v>
      </c>
      <c r="C46" s="39" t="s">
        <v>3</v>
      </c>
      <c r="D46" s="68" t="s">
        <v>106</v>
      </c>
      <c r="E46" s="68"/>
      <c r="F46" s="68"/>
      <c r="G46" s="68"/>
      <c r="H46" s="69"/>
    </row>
    <row r="47" spans="2:8" x14ac:dyDescent="0.45">
      <c r="B47" s="94"/>
      <c r="C47" s="39" t="s">
        <v>4</v>
      </c>
      <c r="D47" s="68" t="s">
        <v>38</v>
      </c>
      <c r="E47" s="68"/>
      <c r="F47" s="68"/>
      <c r="G47" s="68"/>
      <c r="H47" s="69"/>
    </row>
    <row r="48" spans="2:8" x14ac:dyDescent="0.45">
      <c r="B48" s="98" t="s">
        <v>26</v>
      </c>
      <c r="C48" s="40" t="s">
        <v>3</v>
      </c>
      <c r="D48" s="100" t="s">
        <v>39</v>
      </c>
      <c r="E48" s="100"/>
      <c r="F48" s="100"/>
      <c r="G48" s="100"/>
      <c r="H48" s="101"/>
    </row>
    <row r="49" spans="2:8" x14ac:dyDescent="0.45">
      <c r="B49" s="99"/>
      <c r="C49" s="40" t="s">
        <v>4</v>
      </c>
      <c r="D49" s="100" t="s">
        <v>40</v>
      </c>
      <c r="E49" s="100"/>
      <c r="F49" s="100"/>
      <c r="G49" s="100"/>
      <c r="H49" s="101"/>
    </row>
    <row r="50" spans="2:8" x14ac:dyDescent="0.45">
      <c r="B50" s="94" t="s">
        <v>5</v>
      </c>
      <c r="C50" s="39" t="s">
        <v>3</v>
      </c>
      <c r="D50" s="68" t="s">
        <v>41</v>
      </c>
      <c r="E50" s="68"/>
      <c r="F50" s="68"/>
      <c r="G50" s="68"/>
      <c r="H50" s="69"/>
    </row>
    <row r="51" spans="2:8" x14ac:dyDescent="0.45">
      <c r="B51" s="94"/>
      <c r="C51" s="39" t="s">
        <v>4</v>
      </c>
      <c r="D51" s="68" t="s">
        <v>42</v>
      </c>
      <c r="E51" s="68"/>
      <c r="F51" s="68"/>
      <c r="G51" s="68"/>
      <c r="H51" s="69"/>
    </row>
    <row r="52" spans="2:8" x14ac:dyDescent="0.45">
      <c r="B52" s="94" t="s">
        <v>27</v>
      </c>
      <c r="C52" s="39" t="s">
        <v>3</v>
      </c>
      <c r="D52" s="68" t="s">
        <v>43</v>
      </c>
      <c r="E52" s="68"/>
      <c r="F52" s="68"/>
      <c r="G52" s="68"/>
      <c r="H52" s="69"/>
    </row>
    <row r="53" spans="2:8" x14ac:dyDescent="0.45">
      <c r="B53" s="94"/>
      <c r="C53" s="39" t="s">
        <v>4</v>
      </c>
      <c r="D53" s="68" t="s">
        <v>44</v>
      </c>
      <c r="E53" s="68"/>
      <c r="F53" s="68"/>
      <c r="G53" s="68"/>
      <c r="H53" s="69"/>
    </row>
    <row r="54" spans="2:8" x14ac:dyDescent="0.45">
      <c r="B54" s="94" t="s">
        <v>28</v>
      </c>
      <c r="C54" s="39" t="s">
        <v>3</v>
      </c>
      <c r="D54" s="68" t="s">
        <v>45</v>
      </c>
      <c r="E54" s="68"/>
      <c r="F54" s="68"/>
      <c r="G54" s="68"/>
      <c r="H54" s="69"/>
    </row>
    <row r="55" spans="2:8" x14ac:dyDescent="0.45">
      <c r="B55" s="94"/>
      <c r="C55" s="39" t="s">
        <v>4</v>
      </c>
      <c r="D55" s="68" t="s">
        <v>46</v>
      </c>
      <c r="E55" s="68"/>
      <c r="F55" s="68"/>
      <c r="G55" s="68"/>
      <c r="H55" s="69"/>
    </row>
    <row r="56" spans="2:8" x14ac:dyDescent="0.45">
      <c r="B56" s="94" t="s">
        <v>29</v>
      </c>
      <c r="C56" s="39" t="s">
        <v>3</v>
      </c>
      <c r="D56" s="68" t="s">
        <v>105</v>
      </c>
      <c r="E56" s="68"/>
      <c r="F56" s="68"/>
      <c r="G56" s="68"/>
      <c r="H56" s="69"/>
    </row>
    <row r="57" spans="2:8" x14ac:dyDescent="0.45">
      <c r="B57" s="94"/>
      <c r="C57" s="39" t="s">
        <v>4</v>
      </c>
      <c r="D57" s="68" t="s">
        <v>49</v>
      </c>
      <c r="E57" s="68"/>
      <c r="F57" s="68"/>
      <c r="G57" s="68"/>
      <c r="H57" s="69"/>
    </row>
    <row r="58" spans="2:8" x14ac:dyDescent="0.45">
      <c r="B58" s="94" t="s">
        <v>30</v>
      </c>
      <c r="C58" s="39" t="s">
        <v>26</v>
      </c>
      <c r="D58" s="68" t="s">
        <v>93</v>
      </c>
      <c r="E58" s="68"/>
      <c r="F58" s="68"/>
      <c r="G58" s="68"/>
      <c r="H58" s="69"/>
    </row>
    <row r="59" spans="2:8" x14ac:dyDescent="0.45">
      <c r="B59" s="94"/>
      <c r="C59" s="39" t="s">
        <v>4</v>
      </c>
      <c r="D59" s="68" t="s">
        <v>94</v>
      </c>
      <c r="E59" s="68"/>
      <c r="F59" s="68"/>
      <c r="G59" s="68"/>
      <c r="H59" s="69"/>
    </row>
    <row r="60" spans="2:8" x14ac:dyDescent="0.45">
      <c r="B60" s="94" t="s">
        <v>31</v>
      </c>
      <c r="C60" s="39" t="s">
        <v>3</v>
      </c>
      <c r="D60" s="68" t="s">
        <v>99</v>
      </c>
      <c r="E60" s="68"/>
      <c r="F60" s="68"/>
      <c r="G60" s="68"/>
      <c r="H60" s="69"/>
    </row>
    <row r="61" spans="2:8" x14ac:dyDescent="0.45">
      <c r="B61" s="94"/>
      <c r="C61" s="39" t="s">
        <v>4</v>
      </c>
      <c r="D61" s="68" t="s">
        <v>100</v>
      </c>
      <c r="E61" s="68"/>
      <c r="F61" s="68"/>
      <c r="G61" s="68"/>
      <c r="H61" s="69"/>
    </row>
    <row r="62" spans="2:8" x14ac:dyDescent="0.45">
      <c r="B62" s="94" t="s">
        <v>112</v>
      </c>
      <c r="C62" s="39" t="s">
        <v>26</v>
      </c>
      <c r="D62" s="68" t="s">
        <v>114</v>
      </c>
      <c r="E62" s="68"/>
      <c r="F62" s="68"/>
      <c r="G62" s="68"/>
      <c r="H62" s="69"/>
    </row>
    <row r="63" spans="2:8" ht="17.5" thickBot="1" x14ac:dyDescent="0.5">
      <c r="B63" s="95"/>
      <c r="C63" s="41" t="s">
        <v>4</v>
      </c>
      <c r="D63" s="96" t="s">
        <v>115</v>
      </c>
      <c r="E63" s="96"/>
      <c r="F63" s="96"/>
      <c r="G63" s="96"/>
      <c r="H63" s="97"/>
    </row>
  </sheetData>
  <mergeCells count="63">
    <mergeCell ref="B37:B38"/>
    <mergeCell ref="D37:H37"/>
    <mergeCell ref="D38:H38"/>
    <mergeCell ref="B33:B34"/>
    <mergeCell ref="D33:H33"/>
    <mergeCell ref="D34:H34"/>
    <mergeCell ref="B35:B36"/>
    <mergeCell ref="D35:H35"/>
    <mergeCell ref="D36:H36"/>
    <mergeCell ref="B29:B30"/>
    <mergeCell ref="D29:H29"/>
    <mergeCell ref="D30:H30"/>
    <mergeCell ref="B31:B32"/>
    <mergeCell ref="D31:H31"/>
    <mergeCell ref="D32:H32"/>
    <mergeCell ref="D18:H18"/>
    <mergeCell ref="J18:K18"/>
    <mergeCell ref="B19:B20"/>
    <mergeCell ref="D19:H19"/>
    <mergeCell ref="D20:H20"/>
    <mergeCell ref="D43:H43"/>
    <mergeCell ref="B44:B45"/>
    <mergeCell ref="D44:H44"/>
    <mergeCell ref="D45:H45"/>
    <mergeCell ref="B21:B22"/>
    <mergeCell ref="D21:H21"/>
    <mergeCell ref="D22:H22"/>
    <mergeCell ref="B23:B24"/>
    <mergeCell ref="D23:H23"/>
    <mergeCell ref="D24:H24"/>
    <mergeCell ref="B25:B26"/>
    <mergeCell ref="D25:H25"/>
    <mergeCell ref="D26:H26"/>
    <mergeCell ref="B27:B28"/>
    <mergeCell ref="D27:H27"/>
    <mergeCell ref="D28:H28"/>
    <mergeCell ref="B46:B47"/>
    <mergeCell ref="D46:H46"/>
    <mergeCell ref="D47:H47"/>
    <mergeCell ref="B48:B49"/>
    <mergeCell ref="D48:H48"/>
    <mergeCell ref="D49:H49"/>
    <mergeCell ref="B50:B51"/>
    <mergeCell ref="D50:H50"/>
    <mergeCell ref="D51:H51"/>
    <mergeCell ref="B52:B53"/>
    <mergeCell ref="D52:H52"/>
    <mergeCell ref="D53:H53"/>
    <mergeCell ref="B54:B55"/>
    <mergeCell ref="D54:H54"/>
    <mergeCell ref="D55:H55"/>
    <mergeCell ref="B56:B57"/>
    <mergeCell ref="D56:H56"/>
    <mergeCell ref="D57:H57"/>
    <mergeCell ref="B62:B63"/>
    <mergeCell ref="D62:H62"/>
    <mergeCell ref="D63:H63"/>
    <mergeCell ref="B58:B59"/>
    <mergeCell ref="D58:H58"/>
    <mergeCell ref="D59:H59"/>
    <mergeCell ref="B60:B61"/>
    <mergeCell ref="D60:H60"/>
    <mergeCell ref="D61:H61"/>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13BC8-8321-4E41-AC8D-BBD6FCD424B1}">
  <sheetPr codeName="Sheet2"/>
  <dimension ref="B1:P31"/>
  <sheetViews>
    <sheetView zoomScale="85" zoomScaleNormal="85" workbookViewId="0">
      <selection activeCell="C13" sqref="C13"/>
    </sheetView>
  </sheetViews>
  <sheetFormatPr defaultRowHeight="17" x14ac:dyDescent="0.45"/>
  <cols>
    <col min="2" max="2" width="10.08203125" bestFit="1" customWidth="1"/>
    <col min="3" max="3" width="8.5" bestFit="1" customWidth="1"/>
    <col min="5" max="5" width="14" bestFit="1" customWidth="1"/>
    <col min="6" max="8" width="14" customWidth="1"/>
    <col min="9" max="9" width="22.6640625" bestFit="1" customWidth="1"/>
    <col min="10" max="10" width="55.1640625" bestFit="1" customWidth="1"/>
    <col min="11" max="11" width="22" bestFit="1" customWidth="1"/>
    <col min="12" max="12" width="21" bestFit="1" customWidth="1"/>
    <col min="13" max="13" width="30.9140625" bestFit="1" customWidth="1"/>
    <col min="14" max="14" width="47" customWidth="1"/>
    <col min="15" max="15" width="13.58203125" bestFit="1" customWidth="1"/>
    <col min="16" max="16" width="15.9140625" bestFit="1" customWidth="1"/>
  </cols>
  <sheetData>
    <row r="1" spans="2:16" ht="17.5" thickBot="1" x14ac:dyDescent="0.5"/>
    <row r="2" spans="2:16" ht="17.5" thickBot="1" x14ac:dyDescent="0.5">
      <c r="B2" s="1" t="s">
        <v>9</v>
      </c>
      <c r="C2" s="2" t="s">
        <v>3</v>
      </c>
      <c r="D2" s="91" t="s">
        <v>34</v>
      </c>
      <c r="E2" s="92"/>
      <c r="F2" s="3"/>
      <c r="G2" s="3"/>
      <c r="H2" s="3"/>
      <c r="I2" s="3"/>
      <c r="L2" s="25"/>
    </row>
    <row r="3" spans="2:16" ht="17.5" thickBot="1" x14ac:dyDescent="0.5">
      <c r="B3" s="3"/>
      <c r="C3" s="3"/>
      <c r="D3" s="3"/>
      <c r="E3" s="3"/>
      <c r="F3" s="3"/>
      <c r="G3" s="3"/>
      <c r="H3" s="3"/>
      <c r="I3" s="3"/>
    </row>
    <row r="4" spans="2:16" ht="17.5" thickBot="1" x14ac:dyDescent="0.5">
      <c r="B4" s="4" t="s">
        <v>10</v>
      </c>
      <c r="C4" s="5" t="s">
        <v>3</v>
      </c>
      <c r="D4" s="91" t="s">
        <v>17</v>
      </c>
      <c r="E4" s="92"/>
      <c r="F4" s="3"/>
      <c r="G4" s="3"/>
      <c r="H4" s="3"/>
      <c r="I4" s="3"/>
    </row>
    <row r="5" spans="2:16" ht="17.5" thickBot="1" x14ac:dyDescent="0.5">
      <c r="B5" s="6" t="s">
        <v>9</v>
      </c>
      <c r="C5" s="7" t="s">
        <v>11</v>
      </c>
      <c r="D5" s="3"/>
      <c r="E5" s="109"/>
      <c r="F5" s="109"/>
      <c r="G5" s="109"/>
      <c r="H5" s="109"/>
      <c r="I5" s="109"/>
    </row>
    <row r="6" spans="2:16" x14ac:dyDescent="0.45">
      <c r="B6" s="8" t="s">
        <v>12</v>
      </c>
      <c r="C6" s="9" t="s">
        <v>12</v>
      </c>
      <c r="D6" s="3"/>
      <c r="E6" s="3"/>
      <c r="F6" s="3"/>
      <c r="G6" s="3"/>
      <c r="H6" s="3"/>
      <c r="I6" s="3"/>
    </row>
    <row r="7" spans="2:16" ht="17.5" thickBot="1" x14ac:dyDescent="0.5">
      <c r="B7" s="10" t="str">
        <f>C2</f>
        <v>0x01</v>
      </c>
      <c r="C7" s="11" t="str">
        <f>C4</f>
        <v>0x01</v>
      </c>
      <c r="D7" s="3"/>
      <c r="E7" s="3"/>
      <c r="F7" s="3"/>
      <c r="G7" s="3"/>
      <c r="H7" s="3"/>
      <c r="I7" s="3"/>
    </row>
    <row r="8" spans="2:16" ht="17.5" thickBot="1" x14ac:dyDescent="0.5">
      <c r="B8" s="3"/>
      <c r="C8" s="3"/>
      <c r="D8" s="3"/>
      <c r="E8" s="3"/>
      <c r="F8" s="3"/>
      <c r="G8" s="3"/>
      <c r="H8" s="3"/>
      <c r="I8" s="3"/>
    </row>
    <row r="9" spans="2:16" ht="17.5" thickBot="1" x14ac:dyDescent="0.5">
      <c r="B9" s="4" t="s">
        <v>13</v>
      </c>
      <c r="C9" s="5" t="s">
        <v>4</v>
      </c>
      <c r="D9" s="81" t="s">
        <v>18</v>
      </c>
      <c r="E9" s="82"/>
      <c r="F9" s="3"/>
      <c r="G9" s="3"/>
      <c r="H9" s="3"/>
      <c r="I9" s="3"/>
    </row>
    <row r="10" spans="2:16" x14ac:dyDescent="0.45">
      <c r="B10" s="83" t="s">
        <v>9</v>
      </c>
      <c r="C10" s="85" t="s">
        <v>11</v>
      </c>
      <c r="D10" s="85" t="s">
        <v>6</v>
      </c>
      <c r="E10" s="85" t="s">
        <v>14</v>
      </c>
      <c r="F10" s="85"/>
      <c r="G10" s="85"/>
      <c r="H10" s="85"/>
      <c r="I10" s="85"/>
      <c r="J10" s="85"/>
      <c r="K10" s="85"/>
      <c r="L10" s="85"/>
      <c r="M10" s="85"/>
      <c r="N10" s="85"/>
      <c r="O10" s="85"/>
      <c r="P10" s="93"/>
    </row>
    <row r="11" spans="2:16" ht="17.5" thickBot="1" x14ac:dyDescent="0.5">
      <c r="B11" s="84"/>
      <c r="C11" s="86"/>
      <c r="D11" s="86"/>
      <c r="E11" s="13" t="s">
        <v>15</v>
      </c>
      <c r="F11" s="13" t="s">
        <v>95</v>
      </c>
      <c r="G11" s="13" t="s">
        <v>65</v>
      </c>
      <c r="H11" s="13" t="s">
        <v>66</v>
      </c>
      <c r="I11" s="13" t="s">
        <v>50</v>
      </c>
      <c r="J11" s="13" t="s">
        <v>1</v>
      </c>
      <c r="K11" s="32" t="s">
        <v>53</v>
      </c>
      <c r="L11" s="33" t="s">
        <v>52</v>
      </c>
      <c r="M11" s="13" t="s">
        <v>58</v>
      </c>
      <c r="N11" s="13" t="s">
        <v>59</v>
      </c>
      <c r="O11" s="13" t="s">
        <v>76</v>
      </c>
      <c r="P11" s="14" t="s">
        <v>0</v>
      </c>
    </row>
    <row r="12" spans="2:16" x14ac:dyDescent="0.45">
      <c r="B12" s="8" t="s">
        <v>12</v>
      </c>
      <c r="C12" s="15" t="s">
        <v>12</v>
      </c>
      <c r="D12" s="15" t="s">
        <v>16</v>
      </c>
      <c r="E12" s="15" t="s">
        <v>12</v>
      </c>
      <c r="F12" s="15" t="s">
        <v>96</v>
      </c>
      <c r="G12" s="15" t="s">
        <v>67</v>
      </c>
      <c r="H12" s="15" t="s">
        <v>67</v>
      </c>
      <c r="I12" s="15" t="s">
        <v>12</v>
      </c>
      <c r="J12" s="15" t="s">
        <v>51</v>
      </c>
      <c r="K12" s="34" t="s">
        <v>12</v>
      </c>
      <c r="L12" s="34" t="s">
        <v>51</v>
      </c>
      <c r="M12" s="15" t="s">
        <v>12</v>
      </c>
      <c r="N12" s="15" t="s">
        <v>51</v>
      </c>
      <c r="O12" s="15" t="s">
        <v>70</v>
      </c>
      <c r="P12" s="9" t="s">
        <v>12</v>
      </c>
    </row>
    <row r="13" spans="2:16" ht="51.5" thickBot="1" x14ac:dyDescent="0.5">
      <c r="B13" s="10" t="str">
        <f>C2</f>
        <v>0x01</v>
      </c>
      <c r="C13" s="16" t="str">
        <f>C9</f>
        <v>0x02</v>
      </c>
      <c r="D13" s="16" t="s">
        <v>79</v>
      </c>
      <c r="E13" s="16" t="s">
        <v>2</v>
      </c>
      <c r="F13" s="29" t="s">
        <v>97</v>
      </c>
      <c r="G13" s="29" t="s">
        <v>69</v>
      </c>
      <c r="H13" s="29" t="s">
        <v>69</v>
      </c>
      <c r="I13" s="16" t="s">
        <v>63</v>
      </c>
      <c r="J13" s="29" t="s">
        <v>108</v>
      </c>
      <c r="K13" s="35" t="s">
        <v>56</v>
      </c>
      <c r="L13" s="36" t="s">
        <v>55</v>
      </c>
      <c r="M13" s="16" t="s">
        <v>78</v>
      </c>
      <c r="N13" s="29" t="s">
        <v>62</v>
      </c>
      <c r="O13" s="16" t="s">
        <v>71</v>
      </c>
      <c r="P13" s="26" t="s">
        <v>8</v>
      </c>
    </row>
    <row r="14" spans="2:16" x14ac:dyDescent="0.45">
      <c r="G14" s="28" t="s">
        <v>68</v>
      </c>
      <c r="H14" s="28" t="s">
        <v>68</v>
      </c>
      <c r="I14" s="28" t="s">
        <v>64</v>
      </c>
      <c r="J14" s="28" t="s">
        <v>107</v>
      </c>
      <c r="K14" s="37" t="s">
        <v>57</v>
      </c>
      <c r="L14" s="37" t="s">
        <v>54</v>
      </c>
      <c r="M14" s="28" t="s">
        <v>82</v>
      </c>
      <c r="N14" s="28" t="s">
        <v>74</v>
      </c>
      <c r="O14" s="28" t="s">
        <v>72</v>
      </c>
      <c r="P14" s="28" t="s">
        <v>77</v>
      </c>
    </row>
    <row r="15" spans="2:16" x14ac:dyDescent="0.45">
      <c r="O15" t="s">
        <v>111</v>
      </c>
    </row>
    <row r="24" spans="10:11" x14ac:dyDescent="0.45">
      <c r="J24" s="28" t="s">
        <v>86</v>
      </c>
    </row>
    <row r="25" spans="10:11" x14ac:dyDescent="0.45">
      <c r="J25" s="28" t="s">
        <v>87</v>
      </c>
    </row>
    <row r="26" spans="10:11" x14ac:dyDescent="0.45">
      <c r="J26" s="28" t="s">
        <v>88</v>
      </c>
    </row>
    <row r="27" spans="10:11" x14ac:dyDescent="0.45">
      <c r="J27" s="28" t="s">
        <v>89</v>
      </c>
    </row>
    <row r="28" spans="10:11" x14ac:dyDescent="0.45">
      <c r="J28" s="28" t="s">
        <v>92</v>
      </c>
    </row>
    <row r="31" spans="10:11" x14ac:dyDescent="0.45">
      <c r="J31" s="28" t="s">
        <v>90</v>
      </c>
      <c r="K31" t="s">
        <v>91</v>
      </c>
    </row>
  </sheetData>
  <mergeCells count="8">
    <mergeCell ref="B10:B11"/>
    <mergeCell ref="C10:C11"/>
    <mergeCell ref="D10:D11"/>
    <mergeCell ref="E10:P10"/>
    <mergeCell ref="D2:E2"/>
    <mergeCell ref="D4:E4"/>
    <mergeCell ref="E5:I5"/>
    <mergeCell ref="D9:E9"/>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9A6EF-C154-43A9-9D18-6E4CC82E3E3E}">
  <sheetPr codeName="Sheet3"/>
  <dimension ref="B1:E15"/>
  <sheetViews>
    <sheetView zoomScale="85" zoomScaleNormal="85" workbookViewId="0">
      <selection activeCell="C16" sqref="C16"/>
    </sheetView>
  </sheetViews>
  <sheetFormatPr defaultRowHeight="17" x14ac:dyDescent="0.45"/>
  <cols>
    <col min="2" max="2" width="10.08203125" bestFit="1" customWidth="1"/>
    <col min="4" max="4" width="8" bestFit="1" customWidth="1"/>
    <col min="5" max="5" width="52.9140625" bestFit="1" customWidth="1"/>
  </cols>
  <sheetData>
    <row r="1" spans="2:5" ht="17.5" thickBot="1" x14ac:dyDescent="0.5"/>
    <row r="2" spans="2:5" ht="17.5" thickBot="1" x14ac:dyDescent="0.5">
      <c r="B2" s="1" t="s">
        <v>9</v>
      </c>
      <c r="C2" s="2" t="s">
        <v>4</v>
      </c>
      <c r="D2" s="91" t="s">
        <v>37</v>
      </c>
      <c r="E2" s="92"/>
    </row>
    <row r="3" spans="2:5" ht="17.5" thickBot="1" x14ac:dyDescent="0.5">
      <c r="B3" s="3"/>
      <c r="C3" s="3"/>
      <c r="D3" s="3"/>
      <c r="E3" s="3"/>
    </row>
    <row r="4" spans="2:5" ht="17.5" thickBot="1" x14ac:dyDescent="0.5">
      <c r="B4" s="4" t="s">
        <v>10</v>
      </c>
      <c r="C4" s="5" t="s">
        <v>3</v>
      </c>
      <c r="D4" s="81" t="s">
        <v>17</v>
      </c>
      <c r="E4" s="82"/>
    </row>
    <row r="5" spans="2:5" x14ac:dyDescent="0.45">
      <c r="B5" s="83" t="s">
        <v>9</v>
      </c>
      <c r="C5" s="85" t="s">
        <v>11</v>
      </c>
      <c r="D5" s="85" t="s">
        <v>6</v>
      </c>
      <c r="E5" s="12" t="s">
        <v>14</v>
      </c>
    </row>
    <row r="6" spans="2:5" ht="17.5" thickBot="1" x14ac:dyDescent="0.5">
      <c r="B6" s="84"/>
      <c r="C6" s="86"/>
      <c r="D6" s="86"/>
      <c r="E6" s="14" t="s">
        <v>109</v>
      </c>
    </row>
    <row r="7" spans="2:5" x14ac:dyDescent="0.45">
      <c r="B7" s="8" t="s">
        <v>12</v>
      </c>
      <c r="C7" s="15" t="s">
        <v>12</v>
      </c>
      <c r="D7" s="15" t="s">
        <v>16</v>
      </c>
      <c r="E7" s="9" t="s">
        <v>51</v>
      </c>
    </row>
    <row r="8" spans="2:5" ht="51.5" thickBot="1" x14ac:dyDescent="0.5">
      <c r="B8" s="10" t="str">
        <f>C2</f>
        <v>0x02</v>
      </c>
      <c r="C8" s="16" t="str">
        <f>C4</f>
        <v>0x01</v>
      </c>
      <c r="D8" s="16" t="s">
        <v>75</v>
      </c>
      <c r="E8" s="29" t="s">
        <v>108</v>
      </c>
    </row>
    <row r="9" spans="2:5" x14ac:dyDescent="0.45">
      <c r="B9" s="3"/>
      <c r="C9" s="3"/>
      <c r="D9" s="3"/>
      <c r="E9" s="28" t="s">
        <v>107</v>
      </c>
    </row>
    <row r="10" spans="2:5" ht="17.5" thickBot="1" x14ac:dyDescent="0.5">
      <c r="B10" s="3"/>
      <c r="C10" s="3"/>
      <c r="D10" s="3"/>
      <c r="E10" s="28"/>
    </row>
    <row r="11" spans="2:5" ht="17.5" thickBot="1" x14ac:dyDescent="0.5">
      <c r="B11" s="4" t="s">
        <v>13</v>
      </c>
      <c r="C11" s="5" t="s">
        <v>4</v>
      </c>
      <c r="D11" s="91" t="s">
        <v>18</v>
      </c>
      <c r="E11" s="92"/>
    </row>
    <row r="12" spans="2:5" x14ac:dyDescent="0.45">
      <c r="B12" s="83" t="s">
        <v>9</v>
      </c>
      <c r="C12" s="85" t="s">
        <v>11</v>
      </c>
      <c r="D12" s="110" t="s">
        <v>6</v>
      </c>
      <c r="E12" s="12" t="s">
        <v>14</v>
      </c>
    </row>
    <row r="13" spans="2:5" ht="17.5" thickBot="1" x14ac:dyDescent="0.5">
      <c r="B13" s="84"/>
      <c r="C13" s="86"/>
      <c r="D13" s="111"/>
      <c r="E13" s="14" t="s">
        <v>15</v>
      </c>
    </row>
    <row r="14" spans="2:5" x14ac:dyDescent="0.45">
      <c r="B14" s="8" t="s">
        <v>12</v>
      </c>
      <c r="C14" s="15" t="s">
        <v>12</v>
      </c>
      <c r="D14" s="17" t="s">
        <v>16</v>
      </c>
      <c r="E14" s="9" t="s">
        <v>12</v>
      </c>
    </row>
    <row r="15" spans="2:5" ht="17.5" thickBot="1" x14ac:dyDescent="0.5">
      <c r="B15" s="10" t="str">
        <f>C2</f>
        <v>0x02</v>
      </c>
      <c r="C15" s="16" t="str">
        <f>C11</f>
        <v>0x02</v>
      </c>
      <c r="D15" s="18" t="s">
        <v>19</v>
      </c>
      <c r="E15" s="11" t="s">
        <v>2</v>
      </c>
    </row>
  </sheetData>
  <mergeCells count="9">
    <mergeCell ref="D11:E11"/>
    <mergeCell ref="B12:B13"/>
    <mergeCell ref="C12:C13"/>
    <mergeCell ref="D12:D13"/>
    <mergeCell ref="D2:E2"/>
    <mergeCell ref="D4:E4"/>
    <mergeCell ref="B5:B6"/>
    <mergeCell ref="C5:C6"/>
    <mergeCell ref="D5:D6"/>
  </mergeCells>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C00E4-E336-4894-AB98-218FBCE024DE}">
  <sheetPr codeName="Sheet4"/>
  <dimension ref="B1:M19"/>
  <sheetViews>
    <sheetView zoomScale="85" zoomScaleNormal="85" workbookViewId="0">
      <selection activeCell="C16" sqref="C16"/>
    </sheetView>
  </sheetViews>
  <sheetFormatPr defaultRowHeight="17" x14ac:dyDescent="0.45"/>
  <cols>
    <col min="1" max="1" width="8.83203125" customWidth="1"/>
    <col min="4" max="4" width="15.58203125" bestFit="1" customWidth="1"/>
    <col min="5" max="5" width="21" bestFit="1" customWidth="1"/>
  </cols>
  <sheetData>
    <row r="1" spans="2:5" ht="17.5" thickBot="1" x14ac:dyDescent="0.5"/>
    <row r="2" spans="2:5" ht="17.5" thickBot="1" x14ac:dyDescent="0.5">
      <c r="B2" s="30" t="s">
        <v>9</v>
      </c>
      <c r="C2" s="2" t="s">
        <v>26</v>
      </c>
      <c r="D2" s="91" t="s">
        <v>80</v>
      </c>
      <c r="E2" s="92"/>
    </row>
    <row r="3" spans="2:5" ht="17.5" thickBot="1" x14ac:dyDescent="0.5">
      <c r="B3" s="3"/>
      <c r="C3" s="3"/>
      <c r="D3" s="3"/>
      <c r="E3" s="3"/>
    </row>
    <row r="4" spans="2:5" ht="17.5" thickBot="1" x14ac:dyDescent="0.5">
      <c r="B4" s="4" t="s">
        <v>10</v>
      </c>
      <c r="C4" s="5" t="s">
        <v>3</v>
      </c>
      <c r="D4" s="91" t="s">
        <v>17</v>
      </c>
      <c r="E4" s="92"/>
    </row>
    <row r="5" spans="2:5" x14ac:dyDescent="0.45">
      <c r="B5" s="83" t="s">
        <v>9</v>
      </c>
      <c r="C5" s="85" t="s">
        <v>11</v>
      </c>
      <c r="D5" s="110" t="s">
        <v>6</v>
      </c>
      <c r="E5" s="12" t="s">
        <v>14</v>
      </c>
    </row>
    <row r="6" spans="2:5" ht="17.5" thickBot="1" x14ac:dyDescent="0.5">
      <c r="B6" s="84"/>
      <c r="C6" s="86"/>
      <c r="D6" s="111"/>
      <c r="E6" s="14" t="s">
        <v>52</v>
      </c>
    </row>
    <row r="7" spans="2:5" x14ac:dyDescent="0.45">
      <c r="B7" s="8" t="s">
        <v>12</v>
      </c>
      <c r="C7" s="15" t="s">
        <v>12</v>
      </c>
      <c r="D7" s="15" t="s">
        <v>16</v>
      </c>
      <c r="E7" s="9" t="s">
        <v>51</v>
      </c>
    </row>
    <row r="8" spans="2:5" ht="34.5" thickBot="1" x14ac:dyDescent="0.5">
      <c r="B8" s="10" t="str">
        <f>C2</f>
        <v>0x03</v>
      </c>
      <c r="C8" s="16" t="str">
        <f>C4</f>
        <v>0x01</v>
      </c>
      <c r="D8" s="16" t="s">
        <v>85</v>
      </c>
      <c r="E8" s="26" t="s">
        <v>55</v>
      </c>
    </row>
    <row r="9" spans="2:5" x14ac:dyDescent="0.45">
      <c r="B9" s="3"/>
      <c r="C9" s="3"/>
      <c r="D9" s="28" t="s">
        <v>57</v>
      </c>
      <c r="E9" s="28" t="s">
        <v>54</v>
      </c>
    </row>
    <row r="10" spans="2:5" ht="17.5" thickBot="1" x14ac:dyDescent="0.5">
      <c r="B10" s="3"/>
      <c r="C10" s="3"/>
      <c r="D10" s="3"/>
      <c r="E10" s="28"/>
    </row>
    <row r="11" spans="2:5" ht="17.5" thickBot="1" x14ac:dyDescent="0.5">
      <c r="B11" s="4" t="s">
        <v>13</v>
      </c>
      <c r="C11" s="5" t="s">
        <v>4</v>
      </c>
      <c r="D11" s="91" t="s">
        <v>18</v>
      </c>
      <c r="E11" s="92"/>
    </row>
    <row r="12" spans="2:5" x14ac:dyDescent="0.45">
      <c r="B12" s="83" t="s">
        <v>9</v>
      </c>
      <c r="C12" s="85" t="s">
        <v>11</v>
      </c>
      <c r="D12" s="110" t="s">
        <v>6</v>
      </c>
      <c r="E12" s="12" t="s">
        <v>14</v>
      </c>
    </row>
    <row r="13" spans="2:5" ht="17.5" thickBot="1" x14ac:dyDescent="0.5">
      <c r="B13" s="84"/>
      <c r="C13" s="86"/>
      <c r="D13" s="111"/>
      <c r="E13" s="14" t="s">
        <v>15</v>
      </c>
    </row>
    <row r="14" spans="2:5" x14ac:dyDescent="0.45">
      <c r="B14" s="8" t="s">
        <v>12</v>
      </c>
      <c r="C14" s="15" t="s">
        <v>12</v>
      </c>
      <c r="D14" s="17" t="s">
        <v>16</v>
      </c>
      <c r="E14" s="9" t="s">
        <v>12</v>
      </c>
    </row>
    <row r="15" spans="2:5" ht="17.5" thickBot="1" x14ac:dyDescent="0.5">
      <c r="B15" s="10" t="str">
        <f>C2</f>
        <v>0x03</v>
      </c>
      <c r="C15" s="16" t="str">
        <f>C11</f>
        <v>0x02</v>
      </c>
      <c r="D15" s="18" t="s">
        <v>19</v>
      </c>
      <c r="E15" s="11" t="s">
        <v>2</v>
      </c>
    </row>
    <row r="19" spans="13:13" x14ac:dyDescent="0.45">
      <c r="M19" s="31"/>
    </row>
  </sheetData>
  <mergeCells count="9">
    <mergeCell ref="B12:B13"/>
    <mergeCell ref="C12:C13"/>
    <mergeCell ref="D12:D13"/>
    <mergeCell ref="D2:E2"/>
    <mergeCell ref="D4:E4"/>
    <mergeCell ref="B5:B6"/>
    <mergeCell ref="C5:C6"/>
    <mergeCell ref="D5:D6"/>
    <mergeCell ref="D11:E11"/>
  </mergeCells>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1258A-A6D5-4CDB-8A67-E4DFFE934321}">
  <sheetPr codeName="Sheet5"/>
  <dimension ref="B1:E15"/>
  <sheetViews>
    <sheetView zoomScale="85" zoomScaleNormal="85" workbookViewId="0">
      <selection activeCell="F14" sqref="F14"/>
    </sheetView>
  </sheetViews>
  <sheetFormatPr defaultRowHeight="17" x14ac:dyDescent="0.45"/>
  <cols>
    <col min="4" max="4" width="15.4140625" bestFit="1" customWidth="1"/>
    <col min="5" max="5" width="36.1640625" bestFit="1" customWidth="1"/>
  </cols>
  <sheetData>
    <row r="1" spans="2:5" ht="17.5" thickBot="1" x14ac:dyDescent="0.5"/>
    <row r="2" spans="2:5" ht="17.5" thickBot="1" x14ac:dyDescent="0.5">
      <c r="B2" s="1" t="s">
        <v>9</v>
      </c>
      <c r="C2" s="2" t="s">
        <v>5</v>
      </c>
      <c r="D2" s="91" t="s">
        <v>41</v>
      </c>
      <c r="E2" s="92"/>
    </row>
    <row r="3" spans="2:5" ht="17.5" thickBot="1" x14ac:dyDescent="0.5">
      <c r="B3" s="3"/>
      <c r="C3" s="3"/>
      <c r="D3" s="3"/>
      <c r="E3" s="3"/>
    </row>
    <row r="4" spans="2:5" ht="17.5" thickBot="1" x14ac:dyDescent="0.5">
      <c r="B4" s="4" t="s">
        <v>10</v>
      </c>
      <c r="C4" s="5" t="s">
        <v>3</v>
      </c>
      <c r="D4" s="81" t="s">
        <v>17</v>
      </c>
      <c r="E4" s="82"/>
    </row>
    <row r="5" spans="2:5" x14ac:dyDescent="0.45">
      <c r="B5" s="83" t="s">
        <v>9</v>
      </c>
      <c r="C5" s="85" t="s">
        <v>11</v>
      </c>
      <c r="D5" s="85" t="s">
        <v>6</v>
      </c>
      <c r="E5" s="12" t="s">
        <v>14</v>
      </c>
    </row>
    <row r="6" spans="2:5" ht="17.5" thickBot="1" x14ac:dyDescent="0.5">
      <c r="B6" s="84"/>
      <c r="C6" s="86"/>
      <c r="D6" s="86"/>
      <c r="E6" s="14" t="s">
        <v>81</v>
      </c>
    </row>
    <row r="7" spans="2:5" x14ac:dyDescent="0.45">
      <c r="B7" s="8" t="s">
        <v>12</v>
      </c>
      <c r="C7" s="15" t="s">
        <v>12</v>
      </c>
      <c r="D7" s="15" t="s">
        <v>16</v>
      </c>
      <c r="E7" s="9" t="s">
        <v>51</v>
      </c>
    </row>
    <row r="8" spans="2:5" ht="51.5" thickBot="1" x14ac:dyDescent="0.5">
      <c r="B8" s="10" t="str">
        <f>C2</f>
        <v>0x04</v>
      </c>
      <c r="C8" s="16" t="str">
        <f>C4</f>
        <v>0x01</v>
      </c>
      <c r="D8" s="16" t="s">
        <v>84</v>
      </c>
      <c r="E8" s="26" t="s">
        <v>62</v>
      </c>
    </row>
    <row r="9" spans="2:5" x14ac:dyDescent="0.45">
      <c r="B9" s="3"/>
      <c r="C9" s="3"/>
      <c r="D9" s="28" t="s">
        <v>82</v>
      </c>
      <c r="E9" s="28" t="s">
        <v>74</v>
      </c>
    </row>
    <row r="10" spans="2:5" ht="17.5" thickBot="1" x14ac:dyDescent="0.5">
      <c r="B10" s="3"/>
      <c r="C10" s="3"/>
      <c r="D10" s="3"/>
      <c r="E10" s="28"/>
    </row>
    <row r="11" spans="2:5" ht="17.5" thickBot="1" x14ac:dyDescent="0.5">
      <c r="B11" s="4" t="s">
        <v>13</v>
      </c>
      <c r="C11" s="5" t="s">
        <v>4</v>
      </c>
      <c r="D11" s="91" t="s">
        <v>18</v>
      </c>
      <c r="E11" s="92"/>
    </row>
    <row r="12" spans="2:5" x14ac:dyDescent="0.45">
      <c r="B12" s="83" t="s">
        <v>9</v>
      </c>
      <c r="C12" s="85" t="s">
        <v>11</v>
      </c>
      <c r="D12" s="110" t="s">
        <v>6</v>
      </c>
      <c r="E12" s="12" t="s">
        <v>14</v>
      </c>
    </row>
    <row r="13" spans="2:5" ht="17.5" thickBot="1" x14ac:dyDescent="0.5">
      <c r="B13" s="84"/>
      <c r="C13" s="86"/>
      <c r="D13" s="111"/>
      <c r="E13" s="14" t="s">
        <v>15</v>
      </c>
    </row>
    <row r="14" spans="2:5" x14ac:dyDescent="0.45">
      <c r="B14" s="8" t="s">
        <v>12</v>
      </c>
      <c r="C14" s="15" t="s">
        <v>12</v>
      </c>
      <c r="D14" s="17" t="s">
        <v>16</v>
      </c>
      <c r="E14" s="9" t="s">
        <v>12</v>
      </c>
    </row>
    <row r="15" spans="2:5" ht="17.5" thickBot="1" x14ac:dyDescent="0.5">
      <c r="B15" s="10" t="str">
        <f>C2</f>
        <v>0x04</v>
      </c>
      <c r="C15" s="16" t="str">
        <f>C11</f>
        <v>0x02</v>
      </c>
      <c r="D15" s="18" t="s">
        <v>19</v>
      </c>
      <c r="E15" s="11" t="s">
        <v>2</v>
      </c>
    </row>
  </sheetData>
  <mergeCells count="9">
    <mergeCell ref="B12:B13"/>
    <mergeCell ref="C12:C13"/>
    <mergeCell ref="D12:D13"/>
    <mergeCell ref="D2:E2"/>
    <mergeCell ref="D4:E4"/>
    <mergeCell ref="B5:B6"/>
    <mergeCell ref="C5:C6"/>
    <mergeCell ref="D5:D6"/>
    <mergeCell ref="D11:E11"/>
  </mergeCells>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CE843-0F32-443C-A203-7412F7D74AB9}">
  <sheetPr codeName="Sheet6"/>
  <dimension ref="B1:E15"/>
  <sheetViews>
    <sheetView zoomScale="85" zoomScaleNormal="85" workbookViewId="0">
      <selection activeCell="C16" sqref="C16"/>
    </sheetView>
  </sheetViews>
  <sheetFormatPr defaultRowHeight="17" x14ac:dyDescent="0.45"/>
  <cols>
    <col min="5" max="5" width="14.08203125" bestFit="1" customWidth="1"/>
  </cols>
  <sheetData>
    <row r="1" spans="2:5" ht="17.5" thickBot="1" x14ac:dyDescent="0.5"/>
    <row r="2" spans="2:5" ht="17.5" thickBot="1" x14ac:dyDescent="0.5">
      <c r="B2" s="1" t="s">
        <v>9</v>
      </c>
      <c r="C2" s="2" t="s">
        <v>27</v>
      </c>
      <c r="D2" s="91" t="s">
        <v>43</v>
      </c>
      <c r="E2" s="92"/>
    </row>
    <row r="3" spans="2:5" ht="17.5" thickBot="1" x14ac:dyDescent="0.5">
      <c r="B3" s="3"/>
      <c r="C3" s="3"/>
      <c r="D3" s="3"/>
      <c r="E3" s="3"/>
    </row>
    <row r="4" spans="2:5" ht="17.5" thickBot="1" x14ac:dyDescent="0.5">
      <c r="B4" s="4" t="s">
        <v>10</v>
      </c>
      <c r="C4" s="5" t="s">
        <v>3</v>
      </c>
      <c r="D4" s="81" t="s">
        <v>17</v>
      </c>
      <c r="E4" s="82"/>
    </row>
    <row r="5" spans="2:5" x14ac:dyDescent="0.45">
      <c r="B5" s="83" t="s">
        <v>9</v>
      </c>
      <c r="C5" s="85" t="s">
        <v>11</v>
      </c>
      <c r="D5" s="85" t="s">
        <v>6</v>
      </c>
      <c r="E5" s="12" t="s">
        <v>14</v>
      </c>
    </row>
    <row r="6" spans="2:5" ht="17.5" thickBot="1" x14ac:dyDescent="0.5">
      <c r="B6" s="84"/>
      <c r="C6" s="86"/>
      <c r="D6" s="86"/>
      <c r="E6" s="14" t="s">
        <v>76</v>
      </c>
    </row>
    <row r="7" spans="2:5" x14ac:dyDescent="0.45">
      <c r="B7" s="8" t="s">
        <v>12</v>
      </c>
      <c r="C7" s="15" t="s">
        <v>12</v>
      </c>
      <c r="D7" s="15" t="s">
        <v>16</v>
      </c>
      <c r="E7" s="9" t="s">
        <v>70</v>
      </c>
    </row>
    <row r="8" spans="2:5" ht="17.5" thickBot="1" x14ac:dyDescent="0.5">
      <c r="B8" s="10" t="str">
        <f>C2</f>
        <v>0x05</v>
      </c>
      <c r="C8" s="16" t="str">
        <f>C4</f>
        <v>0x01</v>
      </c>
      <c r="D8" s="16" t="s">
        <v>83</v>
      </c>
      <c r="E8" s="26" t="s">
        <v>71</v>
      </c>
    </row>
    <row r="9" spans="2:5" x14ac:dyDescent="0.45">
      <c r="B9" s="3"/>
      <c r="C9" s="3"/>
      <c r="D9" s="28"/>
      <c r="E9" s="28" t="s">
        <v>72</v>
      </c>
    </row>
    <row r="10" spans="2:5" ht="17.5" thickBot="1" x14ac:dyDescent="0.5">
      <c r="B10" s="3"/>
      <c r="C10" s="3"/>
      <c r="D10" s="3"/>
      <c r="E10" s="28"/>
    </row>
    <row r="11" spans="2:5" ht="17.5" thickBot="1" x14ac:dyDescent="0.5">
      <c r="B11" s="4" t="s">
        <v>13</v>
      </c>
      <c r="C11" s="5" t="s">
        <v>4</v>
      </c>
      <c r="D11" s="91" t="s">
        <v>18</v>
      </c>
      <c r="E11" s="92"/>
    </row>
    <row r="12" spans="2:5" x14ac:dyDescent="0.45">
      <c r="B12" s="83" t="s">
        <v>9</v>
      </c>
      <c r="C12" s="85" t="s">
        <v>11</v>
      </c>
      <c r="D12" s="110" t="s">
        <v>6</v>
      </c>
      <c r="E12" s="12" t="s">
        <v>14</v>
      </c>
    </row>
    <row r="13" spans="2:5" ht="17.5" thickBot="1" x14ac:dyDescent="0.5">
      <c r="B13" s="84"/>
      <c r="C13" s="86"/>
      <c r="D13" s="111"/>
      <c r="E13" s="14" t="s">
        <v>15</v>
      </c>
    </row>
    <row r="14" spans="2:5" x14ac:dyDescent="0.45">
      <c r="B14" s="8" t="s">
        <v>12</v>
      </c>
      <c r="C14" s="15" t="s">
        <v>12</v>
      </c>
      <c r="D14" s="17" t="s">
        <v>16</v>
      </c>
      <c r="E14" s="9" t="s">
        <v>12</v>
      </c>
    </row>
    <row r="15" spans="2:5" ht="17.5" thickBot="1" x14ac:dyDescent="0.5">
      <c r="B15" s="10" t="str">
        <f>C2</f>
        <v>0x05</v>
      </c>
      <c r="C15" s="16" t="str">
        <f>C11</f>
        <v>0x02</v>
      </c>
      <c r="D15" s="18" t="s">
        <v>19</v>
      </c>
      <c r="E15" s="11" t="s">
        <v>2</v>
      </c>
    </row>
  </sheetData>
  <mergeCells count="9">
    <mergeCell ref="B12:B13"/>
    <mergeCell ref="C12:C13"/>
    <mergeCell ref="D12:D13"/>
    <mergeCell ref="D2:E2"/>
    <mergeCell ref="D4:E4"/>
    <mergeCell ref="B5:B6"/>
    <mergeCell ref="C5:C6"/>
    <mergeCell ref="D5:D6"/>
    <mergeCell ref="D11:E11"/>
  </mergeCells>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C4260-B23F-4B82-B47F-5165EB2F6523}">
  <sheetPr codeName="Sheet7"/>
  <dimension ref="B1:E15"/>
  <sheetViews>
    <sheetView zoomScale="85" zoomScaleNormal="85" workbookViewId="0">
      <selection activeCell="F20" sqref="F20"/>
    </sheetView>
  </sheetViews>
  <sheetFormatPr defaultRowHeight="17" x14ac:dyDescent="0.45"/>
  <cols>
    <col min="5" max="5" width="14.4140625" bestFit="1" customWidth="1"/>
  </cols>
  <sheetData>
    <row r="1" spans="2:5" ht="17.5" thickBot="1" x14ac:dyDescent="0.5"/>
    <row r="2" spans="2:5" ht="17.5" thickBot="1" x14ac:dyDescent="0.5">
      <c r="B2" s="1" t="s">
        <v>9</v>
      </c>
      <c r="C2" s="2" t="s">
        <v>28</v>
      </c>
      <c r="D2" s="91" t="s">
        <v>45</v>
      </c>
      <c r="E2" s="92"/>
    </row>
    <row r="3" spans="2:5" ht="17.5" thickBot="1" x14ac:dyDescent="0.5">
      <c r="B3" s="3"/>
      <c r="C3" s="3"/>
      <c r="D3" s="3"/>
      <c r="E3" s="3"/>
    </row>
    <row r="4" spans="2:5" ht="17.5" thickBot="1" x14ac:dyDescent="0.5">
      <c r="B4" s="4" t="s">
        <v>10</v>
      </c>
      <c r="C4" s="5" t="s">
        <v>3</v>
      </c>
      <c r="D4" s="81" t="s">
        <v>17</v>
      </c>
      <c r="E4" s="82"/>
    </row>
    <row r="5" spans="2:5" x14ac:dyDescent="0.45">
      <c r="B5" s="83" t="s">
        <v>9</v>
      </c>
      <c r="C5" s="85" t="s">
        <v>11</v>
      </c>
      <c r="D5" s="85" t="s">
        <v>6</v>
      </c>
      <c r="E5" s="12" t="s">
        <v>14</v>
      </c>
    </row>
    <row r="6" spans="2:5" ht="17.5" thickBot="1" x14ac:dyDescent="0.5">
      <c r="B6" s="84"/>
      <c r="C6" s="86"/>
      <c r="D6" s="86"/>
      <c r="E6" s="14" t="s">
        <v>0</v>
      </c>
    </row>
    <row r="7" spans="2:5" x14ac:dyDescent="0.45">
      <c r="B7" s="8" t="s">
        <v>12</v>
      </c>
      <c r="C7" s="15" t="s">
        <v>12</v>
      </c>
      <c r="D7" s="15" t="s">
        <v>16</v>
      </c>
      <c r="E7" s="9" t="s">
        <v>12</v>
      </c>
    </row>
    <row r="8" spans="2:5" ht="17.5" thickBot="1" x14ac:dyDescent="0.5">
      <c r="B8" s="10" t="str">
        <f>C2</f>
        <v>0x06</v>
      </c>
      <c r="C8" s="16" t="str">
        <f>C4</f>
        <v>0x01</v>
      </c>
      <c r="D8" s="16" t="s">
        <v>19</v>
      </c>
      <c r="E8" s="26" t="s">
        <v>8</v>
      </c>
    </row>
    <row r="9" spans="2:5" x14ac:dyDescent="0.45">
      <c r="B9" s="3"/>
      <c r="C9" s="3"/>
      <c r="D9" s="28"/>
      <c r="E9" s="28" t="s">
        <v>77</v>
      </c>
    </row>
    <row r="10" spans="2:5" ht="17.5" thickBot="1" x14ac:dyDescent="0.5">
      <c r="B10" s="3"/>
      <c r="C10" s="3"/>
      <c r="D10" s="3"/>
      <c r="E10" s="28"/>
    </row>
    <row r="11" spans="2:5" ht="17.5" thickBot="1" x14ac:dyDescent="0.5">
      <c r="B11" s="4" t="s">
        <v>13</v>
      </c>
      <c r="C11" s="5" t="s">
        <v>4</v>
      </c>
      <c r="D11" s="91" t="s">
        <v>18</v>
      </c>
      <c r="E11" s="92"/>
    </row>
    <row r="12" spans="2:5" x14ac:dyDescent="0.45">
      <c r="B12" s="83" t="s">
        <v>9</v>
      </c>
      <c r="C12" s="85" t="s">
        <v>11</v>
      </c>
      <c r="D12" s="110" t="s">
        <v>6</v>
      </c>
      <c r="E12" s="12" t="s">
        <v>14</v>
      </c>
    </row>
    <row r="13" spans="2:5" ht="17.5" thickBot="1" x14ac:dyDescent="0.5">
      <c r="B13" s="84"/>
      <c r="C13" s="86"/>
      <c r="D13" s="111"/>
      <c r="E13" s="14" t="s">
        <v>15</v>
      </c>
    </row>
    <row r="14" spans="2:5" x14ac:dyDescent="0.45">
      <c r="B14" s="8" t="s">
        <v>12</v>
      </c>
      <c r="C14" s="15" t="s">
        <v>12</v>
      </c>
      <c r="D14" s="17" t="s">
        <v>16</v>
      </c>
      <c r="E14" s="9" t="s">
        <v>12</v>
      </c>
    </row>
    <row r="15" spans="2:5" ht="17.5" thickBot="1" x14ac:dyDescent="0.5">
      <c r="B15" s="10" t="str">
        <f>C2</f>
        <v>0x06</v>
      </c>
      <c r="C15" s="16" t="str">
        <f>C11</f>
        <v>0x02</v>
      </c>
      <c r="D15" s="18" t="s">
        <v>19</v>
      </c>
      <c r="E15" s="11" t="s">
        <v>2</v>
      </c>
    </row>
  </sheetData>
  <mergeCells count="9">
    <mergeCell ref="B12:B13"/>
    <mergeCell ref="C12:C13"/>
    <mergeCell ref="D12:D13"/>
    <mergeCell ref="D2:E2"/>
    <mergeCell ref="D4:E4"/>
    <mergeCell ref="B5:B6"/>
    <mergeCell ref="C5:C6"/>
    <mergeCell ref="D5:D6"/>
    <mergeCell ref="D11:E11"/>
  </mergeCells>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B63C2-9EBC-4B47-A905-7F68655BDF01}">
  <sheetPr codeName="Sheet8"/>
  <dimension ref="B1:M15"/>
  <sheetViews>
    <sheetView zoomScale="85" zoomScaleNormal="85" workbookViewId="0">
      <selection activeCell="C16" sqref="C16"/>
    </sheetView>
  </sheetViews>
  <sheetFormatPr defaultRowHeight="17" x14ac:dyDescent="0.45"/>
  <cols>
    <col min="5" max="5" width="58.58203125" customWidth="1"/>
    <col min="13" max="13" width="7.5" customWidth="1"/>
  </cols>
  <sheetData>
    <row r="1" spans="2:13" ht="17.5" thickBot="1" x14ac:dyDescent="0.5"/>
    <row r="2" spans="2:13" ht="17.5" thickBot="1" x14ac:dyDescent="0.5">
      <c r="B2" s="1" t="s">
        <v>9</v>
      </c>
      <c r="C2" s="2" t="s">
        <v>29</v>
      </c>
      <c r="D2" s="91" t="s">
        <v>48</v>
      </c>
      <c r="E2" s="92"/>
    </row>
    <row r="3" spans="2:13" ht="17.5" thickBot="1" x14ac:dyDescent="0.5">
      <c r="B3" s="3"/>
      <c r="C3" s="3"/>
      <c r="D3" s="3"/>
      <c r="E3" s="3"/>
    </row>
    <row r="4" spans="2:13" ht="17.5" thickBot="1" x14ac:dyDescent="0.5">
      <c r="B4" s="4" t="s">
        <v>10</v>
      </c>
      <c r="C4" s="5" t="s">
        <v>3</v>
      </c>
      <c r="D4" s="81" t="s">
        <v>17</v>
      </c>
      <c r="E4" s="82"/>
    </row>
    <row r="5" spans="2:13" x14ac:dyDescent="0.45">
      <c r="B5" s="83" t="s">
        <v>9</v>
      </c>
      <c r="C5" s="85" t="s">
        <v>11</v>
      </c>
      <c r="D5" s="85" t="s">
        <v>6</v>
      </c>
      <c r="E5" s="12" t="s">
        <v>14</v>
      </c>
    </row>
    <row r="6" spans="2:13" ht="17.5" thickBot="1" x14ac:dyDescent="0.5">
      <c r="B6" s="84"/>
      <c r="C6" s="86"/>
      <c r="D6" s="86"/>
      <c r="E6" s="14" t="s">
        <v>110</v>
      </c>
    </row>
    <row r="7" spans="2:13" x14ac:dyDescent="0.45">
      <c r="B7" s="8" t="s">
        <v>12</v>
      </c>
      <c r="C7" s="15" t="s">
        <v>12</v>
      </c>
      <c r="D7" s="15" t="s">
        <v>16</v>
      </c>
      <c r="E7" s="9" t="s">
        <v>51</v>
      </c>
    </row>
    <row r="8" spans="2:13" ht="68.5" thickBot="1" x14ac:dyDescent="0.5">
      <c r="B8" s="10" t="str">
        <f>C2</f>
        <v>0x07</v>
      </c>
      <c r="C8" s="16" t="str">
        <f>C4</f>
        <v>0x01</v>
      </c>
      <c r="D8" s="16" t="s">
        <v>104</v>
      </c>
      <c r="E8" s="29" t="s">
        <v>103</v>
      </c>
    </row>
    <row r="9" spans="2:13" x14ac:dyDescent="0.45">
      <c r="B9" s="3"/>
      <c r="C9" s="3"/>
      <c r="D9" s="28"/>
      <c r="E9" s="28" t="s">
        <v>102</v>
      </c>
    </row>
    <row r="10" spans="2:13" ht="17.5" thickBot="1" x14ac:dyDescent="0.5">
      <c r="B10" s="3"/>
      <c r="C10" s="3"/>
      <c r="D10" s="3"/>
      <c r="E10" s="28"/>
    </row>
    <row r="11" spans="2:13" ht="17.5" thickBot="1" x14ac:dyDescent="0.5">
      <c r="B11" s="4" t="s">
        <v>13</v>
      </c>
      <c r="C11" s="5" t="s">
        <v>4</v>
      </c>
      <c r="D11" s="91" t="s">
        <v>18</v>
      </c>
      <c r="E11" s="92"/>
      <c r="M11" s="27"/>
    </row>
    <row r="12" spans="2:13" x14ac:dyDescent="0.45">
      <c r="B12" s="83" t="s">
        <v>9</v>
      </c>
      <c r="C12" s="85" t="s">
        <v>11</v>
      </c>
      <c r="D12" s="110" t="s">
        <v>6</v>
      </c>
      <c r="E12" s="12" t="s">
        <v>14</v>
      </c>
      <c r="M12" s="28"/>
    </row>
    <row r="13" spans="2:13" ht="17.5" thickBot="1" x14ac:dyDescent="0.5">
      <c r="B13" s="84"/>
      <c r="C13" s="86"/>
      <c r="D13" s="111"/>
      <c r="E13" s="14" t="s">
        <v>15</v>
      </c>
    </row>
    <row r="14" spans="2:13" x14ac:dyDescent="0.45">
      <c r="B14" s="8" t="s">
        <v>12</v>
      </c>
      <c r="C14" s="15" t="s">
        <v>12</v>
      </c>
      <c r="D14" s="17" t="s">
        <v>16</v>
      </c>
      <c r="E14" s="9" t="s">
        <v>12</v>
      </c>
    </row>
    <row r="15" spans="2:13" ht="17.5" thickBot="1" x14ac:dyDescent="0.5">
      <c r="B15" s="10" t="str">
        <f>C2</f>
        <v>0x07</v>
      </c>
      <c r="C15" s="16" t="str">
        <f>C11</f>
        <v>0x02</v>
      </c>
      <c r="D15" s="18" t="s">
        <v>19</v>
      </c>
      <c r="E15" s="11" t="s">
        <v>2</v>
      </c>
    </row>
  </sheetData>
  <mergeCells count="9">
    <mergeCell ref="B12:B13"/>
    <mergeCell ref="C12:C13"/>
    <mergeCell ref="D12:D13"/>
    <mergeCell ref="D2:E2"/>
    <mergeCell ref="D4:E4"/>
    <mergeCell ref="B5:B6"/>
    <mergeCell ref="C5:C6"/>
    <mergeCell ref="D5:D6"/>
    <mergeCell ref="D11:E11"/>
  </mergeCells>
  <phoneticPr fontId="1"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24FBA-E6B6-4A53-9764-507E6CFA39CF}">
  <sheetPr codeName="Sheet9"/>
  <dimension ref="B1:O16"/>
  <sheetViews>
    <sheetView zoomScale="85" zoomScaleNormal="85" workbookViewId="0">
      <selection activeCell="I16" sqref="I16"/>
    </sheetView>
  </sheetViews>
  <sheetFormatPr defaultRowHeight="17" x14ac:dyDescent="0.45"/>
  <cols>
    <col min="5" max="5" width="13.08203125" bestFit="1" customWidth="1"/>
    <col min="6" max="6" width="12.9140625" bestFit="1" customWidth="1"/>
    <col min="7" max="7" width="15.5" customWidth="1"/>
    <col min="8" max="8" width="21.6640625" bestFit="1" customWidth="1"/>
    <col min="9" max="9" width="50.1640625" bestFit="1" customWidth="1"/>
    <col min="10" max="10" width="20.9140625" bestFit="1" customWidth="1"/>
    <col min="11" max="11" width="22" bestFit="1" customWidth="1"/>
    <col min="12" max="12" width="29.6640625" bestFit="1" customWidth="1"/>
    <col min="13" max="13" width="39.83203125" customWidth="1"/>
    <col min="14" max="14" width="14.08203125" bestFit="1" customWidth="1"/>
    <col min="15" max="15" width="15.9140625" bestFit="1" customWidth="1"/>
  </cols>
  <sheetData>
    <row r="1" spans="2:15" ht="17.5" thickBot="1" x14ac:dyDescent="0.5"/>
    <row r="2" spans="2:15" ht="17.5" thickBot="1" x14ac:dyDescent="0.5">
      <c r="B2" s="1" t="s">
        <v>9</v>
      </c>
      <c r="C2" s="2" t="s">
        <v>30</v>
      </c>
      <c r="D2" s="91" t="s">
        <v>34</v>
      </c>
      <c r="E2" s="92"/>
      <c r="F2" s="3"/>
      <c r="G2" s="3"/>
      <c r="H2" s="3"/>
      <c r="I2" s="3"/>
      <c r="L2" s="25"/>
    </row>
    <row r="3" spans="2:15" ht="17.5" thickBot="1" x14ac:dyDescent="0.5">
      <c r="B3" s="3"/>
      <c r="C3" s="3"/>
      <c r="D3" s="3"/>
      <c r="E3" s="3"/>
      <c r="F3" s="3"/>
      <c r="G3" s="3"/>
      <c r="H3" s="3"/>
      <c r="I3" s="3"/>
    </row>
    <row r="4" spans="2:15" ht="17.5" thickBot="1" x14ac:dyDescent="0.5">
      <c r="B4" s="4" t="s">
        <v>73</v>
      </c>
      <c r="C4" s="5" t="s">
        <v>26</v>
      </c>
      <c r="D4" s="81" t="s">
        <v>18</v>
      </c>
      <c r="E4" s="82"/>
      <c r="F4" s="3"/>
      <c r="G4" s="3"/>
      <c r="H4" s="3"/>
      <c r="I4" s="3"/>
    </row>
    <row r="5" spans="2:15" x14ac:dyDescent="0.45">
      <c r="B5" s="83" t="s">
        <v>9</v>
      </c>
      <c r="C5" s="85" t="s">
        <v>11</v>
      </c>
      <c r="D5" s="85" t="s">
        <v>6</v>
      </c>
      <c r="E5" s="85" t="s">
        <v>14</v>
      </c>
      <c r="F5" s="85"/>
      <c r="G5" s="85"/>
      <c r="H5" s="85"/>
      <c r="I5" s="85"/>
      <c r="J5" s="85"/>
      <c r="K5" s="85"/>
      <c r="L5" s="85"/>
      <c r="M5" s="85"/>
      <c r="N5" s="85"/>
      <c r="O5" s="93"/>
    </row>
    <row r="6" spans="2:15" ht="17.5" thickBot="1" x14ac:dyDescent="0.5">
      <c r="B6" s="84"/>
      <c r="C6" s="86"/>
      <c r="D6" s="86"/>
      <c r="E6" s="13" t="s">
        <v>95</v>
      </c>
      <c r="F6" s="13" t="s">
        <v>65</v>
      </c>
      <c r="G6" s="13" t="s">
        <v>66</v>
      </c>
      <c r="H6" s="13" t="s">
        <v>50</v>
      </c>
      <c r="I6" s="13" t="s">
        <v>1</v>
      </c>
      <c r="J6" s="32" t="s">
        <v>53</v>
      </c>
      <c r="K6" s="33" t="s">
        <v>52</v>
      </c>
      <c r="L6" s="13" t="s">
        <v>58</v>
      </c>
      <c r="M6" s="13" t="s">
        <v>59</v>
      </c>
      <c r="N6" s="13" t="s">
        <v>76</v>
      </c>
      <c r="O6" s="14" t="s">
        <v>0</v>
      </c>
    </row>
    <row r="7" spans="2:15" x14ac:dyDescent="0.45">
      <c r="B7" s="8" t="s">
        <v>12</v>
      </c>
      <c r="C7" s="15" t="s">
        <v>12</v>
      </c>
      <c r="D7" s="15" t="s">
        <v>16</v>
      </c>
      <c r="E7" s="15" t="s">
        <v>96</v>
      </c>
      <c r="F7" s="15" t="s">
        <v>67</v>
      </c>
      <c r="G7" s="15" t="s">
        <v>67</v>
      </c>
      <c r="H7" s="15" t="s">
        <v>12</v>
      </c>
      <c r="I7" s="15" t="s">
        <v>51</v>
      </c>
      <c r="J7" s="34" t="s">
        <v>12</v>
      </c>
      <c r="K7" s="34" t="s">
        <v>51</v>
      </c>
      <c r="L7" s="15" t="s">
        <v>12</v>
      </c>
      <c r="M7" s="15" t="s">
        <v>51</v>
      </c>
      <c r="N7" s="15" t="s">
        <v>70</v>
      </c>
      <c r="O7" s="9" t="s">
        <v>12</v>
      </c>
    </row>
    <row r="8" spans="2:15" ht="51.5" thickBot="1" x14ac:dyDescent="0.5">
      <c r="B8" s="10" t="str">
        <f>C2</f>
        <v>0x08</v>
      </c>
      <c r="C8" s="16" t="str">
        <f>C4</f>
        <v>0x03</v>
      </c>
      <c r="D8" s="16" t="s">
        <v>98</v>
      </c>
      <c r="E8" s="29" t="s">
        <v>97</v>
      </c>
      <c r="F8" s="29" t="s">
        <v>69</v>
      </c>
      <c r="G8" s="29" t="s">
        <v>69</v>
      </c>
      <c r="H8" s="16" t="s">
        <v>63</v>
      </c>
      <c r="I8" s="29" t="s">
        <v>108</v>
      </c>
      <c r="J8" s="35" t="s">
        <v>56</v>
      </c>
      <c r="K8" s="36" t="s">
        <v>55</v>
      </c>
      <c r="L8" s="16" t="s">
        <v>78</v>
      </c>
      <c r="M8" s="29" t="s">
        <v>62</v>
      </c>
      <c r="N8" s="16" t="s">
        <v>71</v>
      </c>
      <c r="O8" s="26" t="s">
        <v>8</v>
      </c>
    </row>
    <row r="9" spans="2:15" x14ac:dyDescent="0.45">
      <c r="F9" s="28" t="s">
        <v>68</v>
      </c>
      <c r="G9" s="28" t="s">
        <v>68</v>
      </c>
      <c r="H9" s="28" t="s">
        <v>64</v>
      </c>
      <c r="I9" s="28" t="s">
        <v>107</v>
      </c>
      <c r="J9" s="37" t="s">
        <v>57</v>
      </c>
      <c r="K9" s="37" t="s">
        <v>54</v>
      </c>
      <c r="L9" s="28" t="s">
        <v>82</v>
      </c>
      <c r="M9" s="28" t="s">
        <v>74</v>
      </c>
      <c r="N9" s="28" t="s">
        <v>72</v>
      </c>
      <c r="O9" s="28" t="s">
        <v>77</v>
      </c>
    </row>
    <row r="10" spans="2:15" ht="17.5" thickBot="1" x14ac:dyDescent="0.5">
      <c r="F10" s="28"/>
      <c r="G10" s="28"/>
      <c r="H10" s="28"/>
      <c r="I10" s="28"/>
      <c r="J10" s="28"/>
      <c r="K10" s="28"/>
      <c r="L10" s="28"/>
      <c r="M10" s="28"/>
      <c r="N10" s="28" t="s">
        <v>111</v>
      </c>
      <c r="O10" s="28"/>
    </row>
    <row r="11" spans="2:15" ht="17.5" thickBot="1" x14ac:dyDescent="0.5">
      <c r="B11" s="4" t="s">
        <v>13</v>
      </c>
      <c r="C11" s="5" t="s">
        <v>4</v>
      </c>
      <c r="D11" s="81" t="s">
        <v>17</v>
      </c>
      <c r="E11" s="82"/>
      <c r="G11" s="28"/>
      <c r="H11" s="28"/>
      <c r="I11" s="28"/>
      <c r="J11" s="28"/>
      <c r="K11" s="28"/>
      <c r="L11" s="28"/>
      <c r="M11" s="28"/>
      <c r="N11" s="28"/>
      <c r="O11" s="28"/>
    </row>
    <row r="12" spans="2:15" x14ac:dyDescent="0.45">
      <c r="B12" s="83" t="s">
        <v>9</v>
      </c>
      <c r="C12" s="85" t="s">
        <v>11</v>
      </c>
      <c r="D12" s="87" t="s">
        <v>6</v>
      </c>
      <c r="E12" s="12" t="s">
        <v>14</v>
      </c>
    </row>
    <row r="13" spans="2:15" ht="17.5" thickBot="1" x14ac:dyDescent="0.5">
      <c r="B13" s="84"/>
      <c r="C13" s="86"/>
      <c r="D13" s="88"/>
      <c r="E13" s="14" t="s">
        <v>15</v>
      </c>
      <c r="F13" s="3"/>
      <c r="G13" s="3"/>
      <c r="H13" s="3"/>
      <c r="I13" s="3"/>
      <c r="J13" s="3"/>
      <c r="K13" s="3"/>
      <c r="L13" s="3"/>
      <c r="M13" s="3"/>
      <c r="N13" s="3"/>
      <c r="O13" s="3"/>
    </row>
    <row r="14" spans="2:15" x14ac:dyDescent="0.45">
      <c r="B14" s="8" t="s">
        <v>12</v>
      </c>
      <c r="C14" s="15" t="s">
        <v>12</v>
      </c>
      <c r="D14" s="17" t="s">
        <v>16</v>
      </c>
      <c r="E14" s="9" t="s">
        <v>12</v>
      </c>
      <c r="F14" s="3"/>
      <c r="G14" s="3"/>
      <c r="H14" s="3"/>
      <c r="I14" s="3"/>
      <c r="J14" s="3"/>
      <c r="K14" s="3"/>
      <c r="L14" s="3"/>
      <c r="M14" s="3"/>
      <c r="N14" s="3"/>
      <c r="O14" s="3"/>
    </row>
    <row r="15" spans="2:15" ht="17.5" thickBot="1" x14ac:dyDescent="0.5">
      <c r="B15" s="10" t="str">
        <f>C2</f>
        <v>0x08</v>
      </c>
      <c r="C15" s="16" t="str">
        <f>C11</f>
        <v>0x02</v>
      </c>
      <c r="D15" s="18" t="s">
        <v>19</v>
      </c>
      <c r="E15" s="11" t="s">
        <v>2</v>
      </c>
      <c r="F15" s="27"/>
      <c r="G15" s="27"/>
      <c r="H15" s="27"/>
      <c r="I15" s="3"/>
      <c r="J15" s="27"/>
      <c r="K15" s="3"/>
      <c r="L15" s="27"/>
      <c r="M15" s="3"/>
      <c r="N15" s="27"/>
      <c r="O15" s="3"/>
    </row>
    <row r="16" spans="2:15" x14ac:dyDescent="0.45">
      <c r="G16" s="28"/>
      <c r="H16" s="28"/>
      <c r="I16" s="28"/>
      <c r="J16" s="28"/>
      <c r="K16" s="28"/>
      <c r="L16" s="28"/>
      <c r="M16" s="28"/>
      <c r="N16" s="28"/>
      <c r="O16" s="28"/>
    </row>
  </sheetData>
  <mergeCells count="10">
    <mergeCell ref="D2:E2"/>
    <mergeCell ref="D4:E4"/>
    <mergeCell ref="B12:B13"/>
    <mergeCell ref="C12:C13"/>
    <mergeCell ref="D12:D13"/>
    <mergeCell ref="D5:D6"/>
    <mergeCell ref="E5:O5"/>
    <mergeCell ref="C5:C6"/>
    <mergeCell ref="B5:B6"/>
    <mergeCell ref="D11:E11"/>
  </mergeCells>
  <phoneticPr fontId="1"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1B887-5118-4EF9-8F2E-A798AEB514AC}">
  <sheetPr codeName="Sheet10"/>
  <dimension ref="B1:E15"/>
  <sheetViews>
    <sheetView workbookViewId="0">
      <selection activeCell="J18" sqref="J18"/>
    </sheetView>
  </sheetViews>
  <sheetFormatPr defaultRowHeight="17" x14ac:dyDescent="0.45"/>
  <cols>
    <col min="5" max="5" width="20.4140625" bestFit="1" customWidth="1"/>
  </cols>
  <sheetData>
    <row r="1" spans="2:5" ht="17.5" thickBot="1" x14ac:dyDescent="0.5"/>
    <row r="2" spans="2:5" ht="17.5" thickBot="1" x14ac:dyDescent="0.5">
      <c r="B2" s="1" t="s">
        <v>9</v>
      </c>
      <c r="C2" s="2" t="s">
        <v>31</v>
      </c>
      <c r="D2" s="91" t="s">
        <v>101</v>
      </c>
      <c r="E2" s="92"/>
    </row>
    <row r="3" spans="2:5" ht="17.5" thickBot="1" x14ac:dyDescent="0.5">
      <c r="B3" s="3"/>
      <c r="C3" s="3"/>
      <c r="D3" s="3"/>
      <c r="E3" s="3"/>
    </row>
    <row r="4" spans="2:5" ht="17.5" thickBot="1" x14ac:dyDescent="0.5">
      <c r="B4" s="4" t="s">
        <v>10</v>
      </c>
      <c r="C4" s="5" t="s">
        <v>3</v>
      </c>
      <c r="D4" s="91" t="s">
        <v>17</v>
      </c>
      <c r="E4" s="92"/>
    </row>
    <row r="5" spans="2:5" x14ac:dyDescent="0.45">
      <c r="B5" s="83" t="s">
        <v>9</v>
      </c>
      <c r="C5" s="93" t="s">
        <v>11</v>
      </c>
      <c r="E5" s="3"/>
    </row>
    <row r="6" spans="2:5" ht="17.5" thickBot="1" x14ac:dyDescent="0.5">
      <c r="B6" s="84"/>
      <c r="C6" s="112"/>
      <c r="E6" s="3"/>
    </row>
    <row r="7" spans="2:5" x14ac:dyDescent="0.45">
      <c r="B7" s="8" t="s">
        <v>12</v>
      </c>
      <c r="C7" s="9" t="s">
        <v>12</v>
      </c>
      <c r="D7" s="3"/>
      <c r="E7" s="3"/>
    </row>
    <row r="8" spans="2:5" ht="17.5" thickBot="1" x14ac:dyDescent="0.5">
      <c r="B8" s="10" t="str">
        <f>C2</f>
        <v>0x09</v>
      </c>
      <c r="C8" s="11" t="str">
        <f>C4</f>
        <v>0x01</v>
      </c>
      <c r="D8" s="3"/>
      <c r="E8" s="27"/>
    </row>
    <row r="9" spans="2:5" x14ac:dyDescent="0.45">
      <c r="B9" s="3"/>
      <c r="C9" s="3"/>
      <c r="D9" s="28"/>
      <c r="E9" s="28"/>
    </row>
    <row r="10" spans="2:5" ht="17.5" thickBot="1" x14ac:dyDescent="0.5">
      <c r="B10" s="3"/>
      <c r="C10" s="3"/>
      <c r="D10" s="3"/>
      <c r="E10" s="28"/>
    </row>
    <row r="11" spans="2:5" ht="17.5" thickBot="1" x14ac:dyDescent="0.5">
      <c r="B11" s="4" t="s">
        <v>13</v>
      </c>
      <c r="C11" s="5" t="s">
        <v>4</v>
      </c>
      <c r="D11" s="91" t="s">
        <v>18</v>
      </c>
      <c r="E11" s="92"/>
    </row>
    <row r="12" spans="2:5" x14ac:dyDescent="0.45">
      <c r="B12" s="83" t="s">
        <v>9</v>
      </c>
      <c r="C12" s="85" t="s">
        <v>11</v>
      </c>
      <c r="D12" s="110" t="s">
        <v>6</v>
      </c>
      <c r="E12" s="12" t="s">
        <v>14</v>
      </c>
    </row>
    <row r="13" spans="2:5" ht="17.5" thickBot="1" x14ac:dyDescent="0.5">
      <c r="B13" s="84"/>
      <c r="C13" s="86"/>
      <c r="D13" s="111"/>
      <c r="E13" s="14" t="s">
        <v>15</v>
      </c>
    </row>
    <row r="14" spans="2:5" x14ac:dyDescent="0.45">
      <c r="B14" s="8" t="s">
        <v>12</v>
      </c>
      <c r="C14" s="15" t="s">
        <v>12</v>
      </c>
      <c r="D14" s="17" t="s">
        <v>16</v>
      </c>
      <c r="E14" s="9" t="s">
        <v>12</v>
      </c>
    </row>
    <row r="15" spans="2:5" ht="17.5" thickBot="1" x14ac:dyDescent="0.5">
      <c r="B15" s="10" t="str">
        <f>C2</f>
        <v>0x09</v>
      </c>
      <c r="C15" s="16" t="str">
        <f>C11</f>
        <v>0x02</v>
      </c>
      <c r="D15" s="18" t="s">
        <v>19</v>
      </c>
      <c r="E15" s="11" t="s">
        <v>2</v>
      </c>
    </row>
  </sheetData>
  <mergeCells count="8">
    <mergeCell ref="B12:B13"/>
    <mergeCell ref="C12:C13"/>
    <mergeCell ref="D12:D13"/>
    <mergeCell ref="D2:E2"/>
    <mergeCell ref="D4:E4"/>
    <mergeCell ref="B5:B6"/>
    <mergeCell ref="C5:C6"/>
    <mergeCell ref="D11:E11"/>
  </mergeCells>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9BA21-4159-4483-ADAA-23A0C18A347D}">
  <dimension ref="B1:S36"/>
  <sheetViews>
    <sheetView zoomScale="85" zoomScaleNormal="85" workbookViewId="0">
      <selection activeCell="E32" sqref="E32"/>
    </sheetView>
  </sheetViews>
  <sheetFormatPr defaultRowHeight="17" x14ac:dyDescent="0.45"/>
  <cols>
    <col min="2" max="2" width="10.08203125" bestFit="1" customWidth="1"/>
    <col min="5" max="5" width="20.33203125" customWidth="1"/>
    <col min="6" max="6" width="12.58203125" bestFit="1" customWidth="1"/>
    <col min="7" max="7" width="15.9140625" bestFit="1" customWidth="1"/>
    <col min="8" max="8" width="50.9140625" bestFit="1" customWidth="1"/>
  </cols>
  <sheetData>
    <row r="1" spans="2:19" ht="17.5" thickBot="1" x14ac:dyDescent="0.5"/>
    <row r="2" spans="2:19" ht="17.5" thickBot="1" x14ac:dyDescent="0.5">
      <c r="B2" s="1" t="s">
        <v>9</v>
      </c>
      <c r="C2" s="2" t="s">
        <v>116</v>
      </c>
      <c r="D2" s="91" t="s">
        <v>117</v>
      </c>
      <c r="E2" s="92"/>
      <c r="F2" s="3"/>
      <c r="G2" s="3"/>
      <c r="H2" s="3"/>
    </row>
    <row r="3" spans="2:19" ht="17.5" thickBot="1" x14ac:dyDescent="0.5">
      <c r="B3" s="3"/>
      <c r="C3" s="3"/>
      <c r="D3" s="3"/>
      <c r="E3" s="3"/>
      <c r="F3" s="3"/>
      <c r="G3" s="3"/>
      <c r="H3" s="3"/>
    </row>
    <row r="4" spans="2:19" ht="17.5" thickBot="1" x14ac:dyDescent="0.5">
      <c r="B4" s="4" t="s">
        <v>73</v>
      </c>
      <c r="C4" s="5" t="s">
        <v>26</v>
      </c>
      <c r="D4" s="81" t="s">
        <v>18</v>
      </c>
      <c r="E4" s="82"/>
      <c r="F4" s="3"/>
      <c r="G4" s="3"/>
      <c r="H4" s="3"/>
    </row>
    <row r="5" spans="2:19" x14ac:dyDescent="0.45">
      <c r="B5" s="83" t="s">
        <v>9</v>
      </c>
      <c r="C5" s="85" t="s">
        <v>11</v>
      </c>
      <c r="D5" s="85" t="s">
        <v>6</v>
      </c>
      <c r="E5" s="85" t="s">
        <v>14</v>
      </c>
      <c r="F5" s="85"/>
      <c r="G5" s="85"/>
      <c r="H5" s="93"/>
      <c r="K5" s="45" t="s">
        <v>129</v>
      </c>
      <c r="L5" s="89" t="s">
        <v>130</v>
      </c>
      <c r="M5" s="89"/>
      <c r="N5" s="89"/>
      <c r="O5" s="46" t="s">
        <v>7</v>
      </c>
      <c r="P5" s="89" t="s">
        <v>22</v>
      </c>
      <c r="Q5" s="89"/>
      <c r="R5" s="89"/>
      <c r="S5" s="90"/>
    </row>
    <row r="6" spans="2:19" ht="17.5" thickBot="1" x14ac:dyDescent="0.5">
      <c r="B6" s="84"/>
      <c r="C6" s="86"/>
      <c r="D6" s="86"/>
      <c r="E6" s="13" t="s">
        <v>95</v>
      </c>
      <c r="F6" s="13" t="s">
        <v>118</v>
      </c>
      <c r="G6" s="13" t="s">
        <v>121</v>
      </c>
      <c r="H6" s="14" t="s">
        <v>123</v>
      </c>
      <c r="K6" s="49">
        <v>0</v>
      </c>
      <c r="L6" s="70" t="s">
        <v>6</v>
      </c>
      <c r="M6" s="70"/>
      <c r="N6" s="70"/>
      <c r="O6" s="47" t="s">
        <v>28</v>
      </c>
      <c r="P6" s="68" t="s">
        <v>131</v>
      </c>
      <c r="Q6" s="68"/>
      <c r="R6" s="68"/>
      <c r="S6" s="69"/>
    </row>
    <row r="7" spans="2:19" x14ac:dyDescent="0.45">
      <c r="B7" s="8" t="s">
        <v>12</v>
      </c>
      <c r="C7" s="15" t="s">
        <v>12</v>
      </c>
      <c r="D7" s="15" t="s">
        <v>16</v>
      </c>
      <c r="E7" s="15" t="s">
        <v>96</v>
      </c>
      <c r="F7" s="15" t="s">
        <v>70</v>
      </c>
      <c r="G7" s="15" t="s">
        <v>12</v>
      </c>
      <c r="H7" s="9" t="s">
        <v>124</v>
      </c>
      <c r="K7" s="49">
        <v>1</v>
      </c>
      <c r="L7" s="68" t="s">
        <v>132</v>
      </c>
      <c r="M7" s="68"/>
      <c r="N7" s="68"/>
      <c r="O7" s="47" t="s">
        <v>31</v>
      </c>
      <c r="P7" s="68" t="s">
        <v>133</v>
      </c>
      <c r="Q7" s="68"/>
      <c r="R7" s="68"/>
      <c r="S7" s="69"/>
    </row>
    <row r="8" spans="2:19" ht="51.5" thickBot="1" x14ac:dyDescent="0.5">
      <c r="B8" s="10" t="str">
        <f>C2</f>
        <v>0x0A</v>
      </c>
      <c r="C8" s="16" t="str">
        <f>C4</f>
        <v>0x03</v>
      </c>
      <c r="D8" s="16" t="s">
        <v>125</v>
      </c>
      <c r="E8" s="29" t="s">
        <v>126</v>
      </c>
      <c r="F8" s="29" t="s">
        <v>119</v>
      </c>
      <c r="G8" s="29" t="s">
        <v>8</v>
      </c>
      <c r="H8" s="26" t="s">
        <v>178</v>
      </c>
      <c r="K8" s="49">
        <v>2</v>
      </c>
      <c r="L8" s="68" t="s">
        <v>134</v>
      </c>
      <c r="M8" s="68"/>
      <c r="N8" s="68"/>
      <c r="O8" s="47" t="s">
        <v>170</v>
      </c>
      <c r="P8" s="72" t="s">
        <v>171</v>
      </c>
      <c r="Q8" s="73"/>
      <c r="R8" s="73"/>
      <c r="S8" s="74"/>
    </row>
    <row r="9" spans="2:19" x14ac:dyDescent="0.45">
      <c r="F9" s="28" t="s">
        <v>120</v>
      </c>
      <c r="G9" s="38" t="s">
        <v>122</v>
      </c>
      <c r="H9" s="28"/>
      <c r="K9" s="49">
        <v>3</v>
      </c>
      <c r="L9" s="68"/>
      <c r="M9" s="68"/>
      <c r="N9" s="68"/>
      <c r="O9" s="47" t="s">
        <v>172</v>
      </c>
      <c r="P9" s="75"/>
      <c r="Q9" s="76"/>
      <c r="R9" s="76"/>
      <c r="S9" s="77"/>
    </row>
    <row r="10" spans="2:19" x14ac:dyDescent="0.45">
      <c r="F10" s="28" t="s">
        <v>111</v>
      </c>
      <c r="G10" s="28"/>
      <c r="H10" s="28"/>
      <c r="K10" s="49">
        <v>4</v>
      </c>
      <c r="L10" s="68"/>
      <c r="M10" s="68"/>
      <c r="N10" s="68"/>
      <c r="O10" s="47" t="s">
        <v>173</v>
      </c>
      <c r="P10" s="75"/>
      <c r="Q10" s="76"/>
      <c r="R10" s="76"/>
      <c r="S10" s="77"/>
    </row>
    <row r="11" spans="2:19" ht="17.5" thickBot="1" x14ac:dyDescent="0.5">
      <c r="F11" s="28"/>
      <c r="G11" s="28"/>
      <c r="H11" s="28"/>
      <c r="K11" s="49">
        <v>5</v>
      </c>
      <c r="L11" s="68"/>
      <c r="M11" s="68"/>
      <c r="N11" s="68"/>
      <c r="O11" s="47" t="s">
        <v>174</v>
      </c>
      <c r="P11" s="75"/>
      <c r="Q11" s="76"/>
      <c r="R11" s="76"/>
      <c r="S11" s="77"/>
    </row>
    <row r="12" spans="2:19" ht="17.5" thickBot="1" x14ac:dyDescent="0.5">
      <c r="B12" s="4" t="s">
        <v>13</v>
      </c>
      <c r="C12" s="5" t="s">
        <v>4</v>
      </c>
      <c r="D12" s="81" t="s">
        <v>17</v>
      </c>
      <c r="E12" s="82"/>
      <c r="G12" s="28"/>
      <c r="H12" s="28"/>
      <c r="K12" s="49">
        <v>6</v>
      </c>
      <c r="L12" s="68"/>
      <c r="M12" s="68"/>
      <c r="N12" s="68"/>
      <c r="O12" s="47" t="s">
        <v>175</v>
      </c>
      <c r="P12" s="78"/>
      <c r="Q12" s="79"/>
      <c r="R12" s="79"/>
      <c r="S12" s="80"/>
    </row>
    <row r="13" spans="2:19" x14ac:dyDescent="0.45">
      <c r="B13" s="83" t="s">
        <v>9</v>
      </c>
      <c r="C13" s="85" t="s">
        <v>11</v>
      </c>
      <c r="D13" s="87" t="s">
        <v>6</v>
      </c>
      <c r="E13" s="12" t="s">
        <v>14</v>
      </c>
      <c r="K13" s="49">
        <v>7</v>
      </c>
      <c r="L13" s="68" t="s">
        <v>6</v>
      </c>
      <c r="M13" s="68"/>
      <c r="N13" s="68"/>
      <c r="O13" s="47" t="s">
        <v>4</v>
      </c>
      <c r="P13" s="68" t="s">
        <v>135</v>
      </c>
      <c r="Q13" s="68"/>
      <c r="R13" s="68"/>
      <c r="S13" s="69"/>
    </row>
    <row r="14" spans="2:19" ht="17.5" thickBot="1" x14ac:dyDescent="0.5">
      <c r="B14" s="84"/>
      <c r="C14" s="86"/>
      <c r="D14" s="88"/>
      <c r="E14" s="14" t="s">
        <v>15</v>
      </c>
      <c r="F14" s="3"/>
      <c r="G14" s="3"/>
      <c r="H14" s="3"/>
      <c r="K14" s="49">
        <v>8</v>
      </c>
      <c r="L14" s="68" t="s">
        <v>136</v>
      </c>
      <c r="M14" s="68"/>
      <c r="N14" s="68"/>
      <c r="O14" s="47" t="s">
        <v>112</v>
      </c>
      <c r="P14" s="68" t="s">
        <v>137</v>
      </c>
      <c r="Q14" s="68"/>
      <c r="R14" s="68"/>
      <c r="S14" s="69"/>
    </row>
    <row r="15" spans="2:19" x14ac:dyDescent="0.45">
      <c r="B15" s="8" t="s">
        <v>12</v>
      </c>
      <c r="C15" s="15" t="s">
        <v>12</v>
      </c>
      <c r="D15" s="17" t="s">
        <v>16</v>
      </c>
      <c r="E15" s="9" t="s">
        <v>12</v>
      </c>
      <c r="F15" s="3"/>
      <c r="G15" s="3"/>
      <c r="H15" s="3"/>
      <c r="K15" s="49">
        <v>9</v>
      </c>
      <c r="L15" s="68" t="s">
        <v>138</v>
      </c>
      <c r="M15" s="68"/>
      <c r="N15" s="68"/>
      <c r="O15" s="47" t="s">
        <v>112</v>
      </c>
      <c r="P15" s="68" t="s">
        <v>139</v>
      </c>
      <c r="Q15" s="68"/>
      <c r="R15" s="68"/>
      <c r="S15" s="69"/>
    </row>
    <row r="16" spans="2:19" ht="17.5" thickBot="1" x14ac:dyDescent="0.5">
      <c r="B16" s="10" t="str">
        <f>C2</f>
        <v>0x0A</v>
      </c>
      <c r="C16" s="16" t="str">
        <f>C12</f>
        <v>0x02</v>
      </c>
      <c r="D16" s="18" t="s">
        <v>19</v>
      </c>
      <c r="E16" s="11" t="s">
        <v>2</v>
      </c>
      <c r="F16" s="27"/>
      <c r="G16" s="27"/>
      <c r="H16" s="3"/>
      <c r="K16" s="49">
        <v>10</v>
      </c>
      <c r="L16" s="68" t="s">
        <v>6</v>
      </c>
      <c r="M16" s="68"/>
      <c r="N16" s="68"/>
      <c r="O16" s="47" t="s">
        <v>140</v>
      </c>
      <c r="P16" s="70" t="s">
        <v>141</v>
      </c>
      <c r="Q16" s="70"/>
      <c r="R16" s="70"/>
      <c r="S16" s="71"/>
    </row>
    <row r="17" spans="11:19" x14ac:dyDescent="0.45">
      <c r="K17" s="49">
        <v>11</v>
      </c>
      <c r="L17" s="68" t="s">
        <v>142</v>
      </c>
      <c r="M17" s="68"/>
      <c r="N17" s="68"/>
      <c r="O17" s="47" t="s">
        <v>143</v>
      </c>
      <c r="P17" s="68" t="s">
        <v>144</v>
      </c>
      <c r="Q17" s="68"/>
      <c r="R17" s="68"/>
      <c r="S17" s="69"/>
    </row>
    <row r="18" spans="11:19" x14ac:dyDescent="0.45">
      <c r="K18" s="49">
        <v>12</v>
      </c>
      <c r="L18" s="68" t="s">
        <v>145</v>
      </c>
      <c r="M18" s="68"/>
      <c r="N18" s="68"/>
      <c r="O18" s="47" t="s">
        <v>27</v>
      </c>
      <c r="P18" s="68" t="s">
        <v>146</v>
      </c>
      <c r="Q18" s="68"/>
      <c r="R18" s="68"/>
      <c r="S18" s="69"/>
    </row>
    <row r="19" spans="11:19" x14ac:dyDescent="0.45">
      <c r="K19" s="49">
        <v>13</v>
      </c>
      <c r="L19" s="68" t="s">
        <v>147</v>
      </c>
      <c r="M19" s="68"/>
      <c r="N19" s="68"/>
      <c r="O19" s="47" t="s">
        <v>27</v>
      </c>
      <c r="P19" s="68" t="s">
        <v>148</v>
      </c>
      <c r="Q19" s="68"/>
      <c r="R19" s="68"/>
      <c r="S19" s="69"/>
    </row>
    <row r="20" spans="11:19" x14ac:dyDescent="0.45">
      <c r="K20" s="51">
        <v>14</v>
      </c>
      <c r="L20" s="60" t="s">
        <v>127</v>
      </c>
      <c r="M20" s="60"/>
      <c r="N20" s="60"/>
      <c r="O20" s="52" t="s">
        <v>176</v>
      </c>
      <c r="P20" s="60" t="s">
        <v>177</v>
      </c>
      <c r="Q20" s="60"/>
      <c r="R20" s="60"/>
      <c r="S20" s="61"/>
    </row>
    <row r="21" spans="11:19" x14ac:dyDescent="0.45">
      <c r="K21" s="51">
        <v>15</v>
      </c>
      <c r="L21" s="60" t="s">
        <v>149</v>
      </c>
      <c r="M21" s="60"/>
      <c r="N21" s="60"/>
      <c r="O21" s="52" t="s">
        <v>150</v>
      </c>
      <c r="P21" s="60" t="s">
        <v>151</v>
      </c>
      <c r="Q21" s="60"/>
      <c r="R21" s="60"/>
      <c r="S21" s="61"/>
    </row>
    <row r="22" spans="11:19" x14ac:dyDescent="0.45">
      <c r="K22" s="51">
        <v>16</v>
      </c>
      <c r="L22" s="60" t="s">
        <v>152</v>
      </c>
      <c r="M22" s="60"/>
      <c r="N22" s="60"/>
      <c r="O22" s="52" t="s">
        <v>150</v>
      </c>
      <c r="P22" s="60" t="s">
        <v>153</v>
      </c>
      <c r="Q22" s="60"/>
      <c r="R22" s="60"/>
      <c r="S22" s="61"/>
    </row>
    <row r="23" spans="11:19" x14ac:dyDescent="0.45">
      <c r="K23" s="51">
        <v>17</v>
      </c>
      <c r="L23" s="60" t="s">
        <v>154</v>
      </c>
      <c r="M23" s="60"/>
      <c r="N23" s="60"/>
      <c r="O23" s="65" t="s">
        <v>155</v>
      </c>
      <c r="P23" s="60" t="s">
        <v>154</v>
      </c>
      <c r="Q23" s="60"/>
      <c r="R23" s="60"/>
      <c r="S23" s="61"/>
    </row>
    <row r="24" spans="11:19" x14ac:dyDescent="0.45">
      <c r="K24" s="51">
        <v>18</v>
      </c>
      <c r="L24" s="60" t="s">
        <v>156</v>
      </c>
      <c r="M24" s="60"/>
      <c r="N24" s="60"/>
      <c r="O24" s="66"/>
      <c r="P24" s="60" t="s">
        <v>156</v>
      </c>
      <c r="Q24" s="60"/>
      <c r="R24" s="60"/>
      <c r="S24" s="61"/>
    </row>
    <row r="25" spans="11:19" x14ac:dyDescent="0.45">
      <c r="K25" s="51">
        <v>19</v>
      </c>
      <c r="L25" s="60" t="s">
        <v>157</v>
      </c>
      <c r="M25" s="60"/>
      <c r="N25" s="60"/>
      <c r="O25" s="66"/>
      <c r="P25" s="60" t="s">
        <v>157</v>
      </c>
      <c r="Q25" s="60"/>
      <c r="R25" s="60"/>
      <c r="S25" s="61"/>
    </row>
    <row r="26" spans="11:19" x14ac:dyDescent="0.45">
      <c r="K26" s="51">
        <v>20</v>
      </c>
      <c r="L26" s="60" t="s">
        <v>158</v>
      </c>
      <c r="M26" s="60"/>
      <c r="N26" s="60"/>
      <c r="O26" s="67"/>
      <c r="P26" s="60" t="s">
        <v>158</v>
      </c>
      <c r="Q26" s="60"/>
      <c r="R26" s="60"/>
      <c r="S26" s="61"/>
    </row>
    <row r="27" spans="11:19" x14ac:dyDescent="0.45">
      <c r="K27" s="51">
        <v>21</v>
      </c>
      <c r="L27" s="60" t="s">
        <v>159</v>
      </c>
      <c r="M27" s="60"/>
      <c r="N27" s="60"/>
      <c r="O27" s="65" t="s">
        <v>160</v>
      </c>
      <c r="P27" s="60" t="s">
        <v>161</v>
      </c>
      <c r="Q27" s="60"/>
      <c r="R27" s="60"/>
      <c r="S27" s="61"/>
    </row>
    <row r="28" spans="11:19" x14ac:dyDescent="0.45">
      <c r="K28" s="51">
        <v>22</v>
      </c>
      <c r="L28" s="60" t="s">
        <v>162</v>
      </c>
      <c r="M28" s="60"/>
      <c r="N28" s="60"/>
      <c r="O28" s="66"/>
      <c r="P28" s="60" t="s">
        <v>162</v>
      </c>
      <c r="Q28" s="60"/>
      <c r="R28" s="60"/>
      <c r="S28" s="61"/>
    </row>
    <row r="29" spans="11:19" x14ac:dyDescent="0.45">
      <c r="K29" s="53">
        <v>23</v>
      </c>
      <c r="L29" s="60" t="s">
        <v>163</v>
      </c>
      <c r="M29" s="60"/>
      <c r="N29" s="60"/>
      <c r="O29" s="66"/>
      <c r="P29" s="60" t="s">
        <v>163</v>
      </c>
      <c r="Q29" s="60"/>
      <c r="R29" s="60"/>
      <c r="S29" s="61"/>
    </row>
    <row r="30" spans="11:19" x14ac:dyDescent="0.45">
      <c r="K30" s="53">
        <v>24</v>
      </c>
      <c r="L30" s="60" t="s">
        <v>164</v>
      </c>
      <c r="M30" s="60"/>
      <c r="N30" s="60"/>
      <c r="O30" s="67"/>
      <c r="P30" s="60" t="s">
        <v>164</v>
      </c>
      <c r="Q30" s="60"/>
      <c r="R30" s="60"/>
      <c r="S30" s="61"/>
    </row>
    <row r="31" spans="11:19" x14ac:dyDescent="0.45">
      <c r="K31" s="48">
        <v>25</v>
      </c>
      <c r="L31" s="56" t="s">
        <v>165</v>
      </c>
      <c r="M31" s="56"/>
      <c r="N31" s="56"/>
      <c r="O31" s="62" t="s">
        <v>166</v>
      </c>
      <c r="P31" s="56" t="s">
        <v>165</v>
      </c>
      <c r="Q31" s="56"/>
      <c r="R31" s="56"/>
      <c r="S31" s="57"/>
    </row>
    <row r="32" spans="11:19" x14ac:dyDescent="0.45">
      <c r="K32" s="48">
        <v>26</v>
      </c>
      <c r="L32" s="56" t="s">
        <v>167</v>
      </c>
      <c r="M32" s="56"/>
      <c r="N32" s="56"/>
      <c r="O32" s="63"/>
      <c r="P32" s="56" t="s">
        <v>167</v>
      </c>
      <c r="Q32" s="56"/>
      <c r="R32" s="56"/>
      <c r="S32" s="57"/>
    </row>
    <row r="33" spans="11:19" x14ac:dyDescent="0.45">
      <c r="K33" s="48">
        <v>27</v>
      </c>
      <c r="L33" s="56" t="s">
        <v>165</v>
      </c>
      <c r="M33" s="56"/>
      <c r="N33" s="56"/>
      <c r="O33" s="63"/>
      <c r="P33" s="56" t="s">
        <v>165</v>
      </c>
      <c r="Q33" s="56"/>
      <c r="R33" s="56"/>
      <c r="S33" s="57"/>
    </row>
    <row r="34" spans="11:19" x14ac:dyDescent="0.45">
      <c r="K34" s="48">
        <v>28</v>
      </c>
      <c r="L34" s="56" t="s">
        <v>167</v>
      </c>
      <c r="M34" s="56"/>
      <c r="N34" s="56"/>
      <c r="O34" s="63"/>
      <c r="P34" s="56" t="s">
        <v>167</v>
      </c>
      <c r="Q34" s="56"/>
      <c r="R34" s="56"/>
      <c r="S34" s="57"/>
    </row>
    <row r="35" spans="11:19" x14ac:dyDescent="0.45">
      <c r="K35" s="48">
        <v>29</v>
      </c>
      <c r="L35" s="56" t="s">
        <v>168</v>
      </c>
      <c r="M35" s="56"/>
      <c r="N35" s="56"/>
      <c r="O35" s="63"/>
      <c r="P35" s="56" t="s">
        <v>168</v>
      </c>
      <c r="Q35" s="56"/>
      <c r="R35" s="56"/>
      <c r="S35" s="57"/>
    </row>
    <row r="36" spans="11:19" ht="17.5" thickBot="1" x14ac:dyDescent="0.5">
      <c r="K36" s="50">
        <v>30</v>
      </c>
      <c r="L36" s="58" t="s">
        <v>169</v>
      </c>
      <c r="M36" s="58"/>
      <c r="N36" s="58"/>
      <c r="O36" s="64"/>
      <c r="P36" s="58" t="s">
        <v>169</v>
      </c>
      <c r="Q36" s="58"/>
      <c r="R36" s="58"/>
      <c r="S36" s="59"/>
    </row>
  </sheetData>
  <mergeCells count="69">
    <mergeCell ref="L34:N34"/>
    <mergeCell ref="P34:S34"/>
    <mergeCell ref="L35:N35"/>
    <mergeCell ref="P35:S35"/>
    <mergeCell ref="L36:N36"/>
    <mergeCell ref="P36:S36"/>
    <mergeCell ref="O31:O36"/>
    <mergeCell ref="L31:N31"/>
    <mergeCell ref="P31:S31"/>
    <mergeCell ref="L32:N32"/>
    <mergeCell ref="P32:S32"/>
    <mergeCell ref="L33:N33"/>
    <mergeCell ref="P33:S33"/>
    <mergeCell ref="L27:N27"/>
    <mergeCell ref="O27:O30"/>
    <mergeCell ref="P27:S27"/>
    <mergeCell ref="L28:N28"/>
    <mergeCell ref="P28:S28"/>
    <mergeCell ref="L29:N29"/>
    <mergeCell ref="P29:S29"/>
    <mergeCell ref="L30:N30"/>
    <mergeCell ref="P30:S30"/>
    <mergeCell ref="L21:N21"/>
    <mergeCell ref="P21:S21"/>
    <mergeCell ref="L22:N22"/>
    <mergeCell ref="P22:S22"/>
    <mergeCell ref="L23:N23"/>
    <mergeCell ref="O23:O26"/>
    <mergeCell ref="P23:S23"/>
    <mergeCell ref="L24:N24"/>
    <mergeCell ref="P24:S24"/>
    <mergeCell ref="L25:N25"/>
    <mergeCell ref="P25:S25"/>
    <mergeCell ref="L26:N26"/>
    <mergeCell ref="P26:S26"/>
    <mergeCell ref="L18:N18"/>
    <mergeCell ref="P18:S18"/>
    <mergeCell ref="L19:N19"/>
    <mergeCell ref="P19:S19"/>
    <mergeCell ref="L20:N20"/>
    <mergeCell ref="P20:S20"/>
    <mergeCell ref="L15:N15"/>
    <mergeCell ref="P15:S15"/>
    <mergeCell ref="L16:N16"/>
    <mergeCell ref="P16:S16"/>
    <mergeCell ref="L17:N17"/>
    <mergeCell ref="P17:S17"/>
    <mergeCell ref="L8:N12"/>
    <mergeCell ref="P8:S12"/>
    <mergeCell ref="L13:N13"/>
    <mergeCell ref="P13:S13"/>
    <mergeCell ref="L14:N14"/>
    <mergeCell ref="P14:S14"/>
    <mergeCell ref="L5:N5"/>
    <mergeCell ref="P5:S5"/>
    <mergeCell ref="L6:N6"/>
    <mergeCell ref="P6:S6"/>
    <mergeCell ref="L7:N7"/>
    <mergeCell ref="P7:S7"/>
    <mergeCell ref="D12:E12"/>
    <mergeCell ref="B13:B14"/>
    <mergeCell ref="C13:C14"/>
    <mergeCell ref="D13:D14"/>
    <mergeCell ref="D2:E2"/>
    <mergeCell ref="D4:E4"/>
    <mergeCell ref="B5:B6"/>
    <mergeCell ref="C5:C6"/>
    <mergeCell ref="D5:D6"/>
    <mergeCell ref="E5:H5"/>
  </mergeCells>
  <phoneticPr fontId="1" type="noConversion"/>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79930-592B-4B3B-ADEE-0B0237CDCEB7}">
  <dimension ref="B1:S16"/>
  <sheetViews>
    <sheetView tabSelected="1" zoomScale="85" zoomScaleNormal="85" workbookViewId="0">
      <selection activeCell="I23" sqref="I23"/>
    </sheetView>
  </sheetViews>
  <sheetFormatPr defaultRowHeight="17" x14ac:dyDescent="0.45"/>
  <cols>
    <col min="2" max="2" width="10.08203125" bestFit="1" customWidth="1"/>
    <col min="5" max="5" width="20.33203125" customWidth="1"/>
    <col min="6" max="6" width="15.9140625" bestFit="1" customWidth="1"/>
    <col min="7" max="7" width="15.9140625" customWidth="1"/>
    <col min="8" max="8" width="26" bestFit="1" customWidth="1"/>
    <col min="9" max="9" width="16.08203125" bestFit="1" customWidth="1"/>
    <col min="10" max="10" width="14.08203125" bestFit="1" customWidth="1"/>
    <col min="11" max="11" width="16.1640625" bestFit="1" customWidth="1"/>
    <col min="12" max="12" width="14.08203125" bestFit="1" customWidth="1"/>
    <col min="13" max="13" width="16.1640625" bestFit="1" customWidth="1"/>
    <col min="14" max="14" width="14.08203125" bestFit="1" customWidth="1"/>
    <col min="15" max="19" width="15.9140625" customWidth="1"/>
  </cols>
  <sheetData>
    <row r="1" spans="2:19" ht="17.5" thickBot="1" x14ac:dyDescent="0.5"/>
    <row r="2" spans="2:19" ht="17.5" thickBot="1" x14ac:dyDescent="0.5">
      <c r="B2" s="1" t="s">
        <v>9</v>
      </c>
      <c r="C2" s="2" t="s">
        <v>179</v>
      </c>
      <c r="D2" s="91" t="s">
        <v>117</v>
      </c>
      <c r="E2" s="92"/>
      <c r="F2" s="3"/>
      <c r="G2" s="3"/>
      <c r="H2" s="3"/>
      <c r="I2" s="3"/>
      <c r="J2" s="3"/>
      <c r="K2" s="3"/>
      <c r="L2" s="3"/>
      <c r="M2" s="3"/>
      <c r="N2" s="3"/>
      <c r="O2" s="3"/>
      <c r="P2" s="3"/>
      <c r="Q2" s="3"/>
      <c r="R2" s="3"/>
      <c r="S2" s="3"/>
    </row>
    <row r="3" spans="2:19" ht="17.5" thickBot="1" x14ac:dyDescent="0.5">
      <c r="B3" s="3"/>
      <c r="C3" s="3"/>
      <c r="D3" s="3"/>
      <c r="E3" s="3"/>
      <c r="F3" s="3"/>
      <c r="G3" s="3"/>
      <c r="H3" s="3"/>
      <c r="I3" s="3"/>
      <c r="J3" s="3"/>
      <c r="K3" s="3"/>
      <c r="L3" s="3"/>
      <c r="M3" s="3"/>
      <c r="N3" s="3"/>
      <c r="O3" s="3"/>
      <c r="P3" s="3"/>
      <c r="Q3" s="3"/>
      <c r="R3" s="3"/>
      <c r="S3" s="3"/>
    </row>
    <row r="4" spans="2:19" ht="17.5" thickBot="1" x14ac:dyDescent="0.5">
      <c r="B4" s="4" t="s">
        <v>73</v>
      </c>
      <c r="C4" s="5" t="s">
        <v>26</v>
      </c>
      <c r="D4" s="81" t="s">
        <v>18</v>
      </c>
      <c r="E4" s="82"/>
      <c r="F4" s="3"/>
      <c r="G4" s="3"/>
      <c r="H4" s="3"/>
      <c r="I4" s="3"/>
      <c r="J4" s="3"/>
      <c r="K4" s="3"/>
      <c r="L4" s="3"/>
      <c r="M4" s="3"/>
      <c r="N4" s="3"/>
      <c r="O4" s="3"/>
      <c r="P4" s="3"/>
      <c r="Q4" s="3"/>
      <c r="R4" s="3"/>
      <c r="S4" s="3"/>
    </row>
    <row r="5" spans="2:19" x14ac:dyDescent="0.45">
      <c r="B5" s="83" t="s">
        <v>9</v>
      </c>
      <c r="C5" s="85" t="s">
        <v>11</v>
      </c>
      <c r="D5" s="87" t="s">
        <v>6</v>
      </c>
      <c r="E5" s="83" t="s">
        <v>14</v>
      </c>
      <c r="F5" s="85"/>
      <c r="G5" s="87"/>
      <c r="H5" s="87"/>
      <c r="I5" s="87"/>
      <c r="J5" s="87"/>
      <c r="K5" s="87"/>
      <c r="L5" s="87"/>
      <c r="M5" s="87"/>
      <c r="N5" s="87"/>
      <c r="O5" s="87"/>
      <c r="P5" s="87"/>
      <c r="Q5" s="87"/>
      <c r="R5" s="87"/>
      <c r="S5" s="93"/>
    </row>
    <row r="6" spans="2:19" ht="17.5" thickBot="1" x14ac:dyDescent="0.5">
      <c r="B6" s="84"/>
      <c r="C6" s="86"/>
      <c r="D6" s="88"/>
      <c r="E6" s="54" t="s">
        <v>95</v>
      </c>
      <c r="F6" s="13" t="s">
        <v>121</v>
      </c>
      <c r="G6" s="55" t="s">
        <v>127</v>
      </c>
      <c r="H6" s="55" t="s">
        <v>190</v>
      </c>
      <c r="I6" s="55" t="s">
        <v>180</v>
      </c>
      <c r="J6" s="55" t="s">
        <v>181</v>
      </c>
      <c r="K6" s="55" t="s">
        <v>182</v>
      </c>
      <c r="L6" s="55" t="s">
        <v>181</v>
      </c>
      <c r="M6" s="55" t="s">
        <v>182</v>
      </c>
      <c r="N6" s="55" t="s">
        <v>181</v>
      </c>
      <c r="O6" s="55" t="s">
        <v>182</v>
      </c>
      <c r="P6" s="55" t="s">
        <v>181</v>
      </c>
      <c r="Q6" s="55" t="s">
        <v>182</v>
      </c>
      <c r="R6" s="55" t="s">
        <v>181</v>
      </c>
      <c r="S6" s="14" t="s">
        <v>182</v>
      </c>
    </row>
    <row r="7" spans="2:19" x14ac:dyDescent="0.45">
      <c r="B7" s="8" t="s">
        <v>12</v>
      </c>
      <c r="C7" s="15" t="s">
        <v>12</v>
      </c>
      <c r="D7" s="17" t="s">
        <v>16</v>
      </c>
      <c r="E7" s="8" t="s">
        <v>96</v>
      </c>
      <c r="F7" s="15" t="s">
        <v>12</v>
      </c>
      <c r="G7" s="17" t="s">
        <v>12</v>
      </c>
      <c r="H7" s="17" t="s">
        <v>70</v>
      </c>
      <c r="I7" s="17" t="s">
        <v>12</v>
      </c>
      <c r="J7" s="17" t="s">
        <v>70</v>
      </c>
      <c r="K7" s="17" t="s">
        <v>183</v>
      </c>
      <c r="L7" s="17" t="s">
        <v>70</v>
      </c>
      <c r="M7" s="17" t="s">
        <v>183</v>
      </c>
      <c r="N7" s="17" t="s">
        <v>70</v>
      </c>
      <c r="O7" s="17" t="s">
        <v>183</v>
      </c>
      <c r="P7" s="17" t="s">
        <v>70</v>
      </c>
      <c r="Q7" s="17" t="s">
        <v>183</v>
      </c>
      <c r="R7" s="17" t="s">
        <v>70</v>
      </c>
      <c r="S7" s="9" t="s">
        <v>183</v>
      </c>
    </row>
    <row r="8" spans="2:19" ht="17.5" thickBot="1" x14ac:dyDescent="0.5">
      <c r="B8" s="10" t="str">
        <f>C2</f>
        <v>0x0B</v>
      </c>
      <c r="C8" s="16" t="str">
        <f>C4</f>
        <v>0x03</v>
      </c>
      <c r="D8" s="18" t="s">
        <v>125</v>
      </c>
      <c r="E8" s="115" t="s">
        <v>126</v>
      </c>
      <c r="F8" s="29" t="s">
        <v>8</v>
      </c>
      <c r="G8" s="113" t="s">
        <v>176</v>
      </c>
      <c r="H8" s="113" t="s">
        <v>191</v>
      </c>
      <c r="I8" s="113" t="s">
        <v>27</v>
      </c>
      <c r="J8" s="113" t="s">
        <v>71</v>
      </c>
      <c r="K8" s="113" t="s">
        <v>184</v>
      </c>
      <c r="L8" s="113" t="s">
        <v>185</v>
      </c>
      <c r="M8" s="113" t="s">
        <v>186</v>
      </c>
      <c r="N8" s="113" t="s">
        <v>187</v>
      </c>
      <c r="O8" s="113" t="s">
        <v>199</v>
      </c>
      <c r="P8" s="113" t="s">
        <v>188</v>
      </c>
      <c r="Q8" s="113" t="s">
        <v>200</v>
      </c>
      <c r="R8" s="113" t="s">
        <v>189</v>
      </c>
      <c r="S8" s="26" t="s">
        <v>185</v>
      </c>
    </row>
    <row r="9" spans="2:19" x14ac:dyDescent="0.45">
      <c r="F9" s="38" t="s">
        <v>122</v>
      </c>
      <c r="G9" s="114">
        <v>1</v>
      </c>
      <c r="H9" s="114" t="s">
        <v>192</v>
      </c>
      <c r="I9" s="38" t="s">
        <v>194</v>
      </c>
      <c r="J9" s="116" t="s">
        <v>193</v>
      </c>
      <c r="K9" s="116"/>
      <c r="L9" s="116" t="s">
        <v>195</v>
      </c>
      <c r="M9" s="116"/>
      <c r="N9" s="116" t="s">
        <v>196</v>
      </c>
      <c r="O9" s="116"/>
      <c r="P9" s="116" t="s">
        <v>197</v>
      </c>
      <c r="Q9" s="116"/>
      <c r="R9" s="116" t="s">
        <v>198</v>
      </c>
      <c r="S9" s="116"/>
    </row>
    <row r="10" spans="2:19" x14ac:dyDescent="0.45">
      <c r="F10" s="28"/>
      <c r="G10" s="28"/>
      <c r="H10" s="28"/>
      <c r="I10" s="28"/>
      <c r="J10" s="28"/>
      <c r="K10" s="28"/>
      <c r="L10" s="28"/>
      <c r="M10" s="28"/>
      <c r="N10" s="28"/>
      <c r="O10" s="28"/>
      <c r="P10" s="28"/>
      <c r="Q10" s="28"/>
      <c r="R10" s="28"/>
      <c r="S10" s="28"/>
    </row>
    <row r="11" spans="2:19" ht="17.5" thickBot="1" x14ac:dyDescent="0.5">
      <c r="F11" s="28"/>
      <c r="G11" s="28"/>
      <c r="H11" s="28"/>
      <c r="I11" s="28"/>
      <c r="J11" s="28"/>
      <c r="K11" s="28"/>
      <c r="L11" s="28"/>
      <c r="M11" s="28"/>
      <c r="N11" s="28"/>
      <c r="O11" s="28"/>
      <c r="P11" s="28"/>
      <c r="Q11" s="28"/>
      <c r="R11" s="28"/>
      <c r="S11" s="28"/>
    </row>
    <row r="12" spans="2:19" ht="17.5" thickBot="1" x14ac:dyDescent="0.5">
      <c r="B12" s="4" t="s">
        <v>13</v>
      </c>
      <c r="C12" s="5" t="s">
        <v>4</v>
      </c>
      <c r="D12" s="81" t="s">
        <v>17</v>
      </c>
      <c r="E12" s="82"/>
      <c r="F12" s="28"/>
      <c r="G12" s="28"/>
      <c r="H12" s="28"/>
      <c r="I12" s="28"/>
      <c r="J12" s="28"/>
      <c r="K12" s="28"/>
      <c r="L12" s="28"/>
      <c r="M12" s="28"/>
      <c r="N12" s="28"/>
      <c r="O12" s="28"/>
      <c r="P12" s="28"/>
      <c r="Q12" s="28"/>
      <c r="R12" s="28"/>
      <c r="S12" s="28"/>
    </row>
    <row r="13" spans="2:19" x14ac:dyDescent="0.45">
      <c r="B13" s="83" t="s">
        <v>9</v>
      </c>
      <c r="C13" s="85" t="s">
        <v>11</v>
      </c>
      <c r="D13" s="87" t="s">
        <v>6</v>
      </c>
      <c r="E13" s="12" t="s">
        <v>14</v>
      </c>
    </row>
    <row r="14" spans="2:19" ht="17.5" thickBot="1" x14ac:dyDescent="0.5">
      <c r="B14" s="84"/>
      <c r="C14" s="86"/>
      <c r="D14" s="88"/>
      <c r="E14" s="14" t="s">
        <v>15</v>
      </c>
      <c r="F14" s="3"/>
      <c r="G14" s="3"/>
      <c r="H14" s="3"/>
      <c r="I14" s="3"/>
      <c r="J14" s="3"/>
      <c r="K14" s="3"/>
      <c r="L14" s="3"/>
      <c r="M14" s="3"/>
      <c r="N14" s="3"/>
      <c r="O14" s="3"/>
      <c r="P14" s="3"/>
      <c r="Q14" s="3"/>
      <c r="R14" s="3"/>
      <c r="S14" s="3"/>
    </row>
    <row r="15" spans="2:19" x14ac:dyDescent="0.45">
      <c r="B15" s="8" t="s">
        <v>12</v>
      </c>
      <c r="C15" s="15" t="s">
        <v>12</v>
      </c>
      <c r="D15" s="17" t="s">
        <v>16</v>
      </c>
      <c r="E15" s="9" t="s">
        <v>12</v>
      </c>
      <c r="F15" s="3"/>
      <c r="G15" s="3"/>
      <c r="H15" s="3"/>
      <c r="I15" s="3"/>
      <c r="J15" s="3"/>
      <c r="K15" s="3"/>
      <c r="L15" s="3"/>
      <c r="M15" s="3"/>
      <c r="N15" s="3"/>
      <c r="O15" s="3"/>
      <c r="P15" s="3"/>
      <c r="Q15" s="3"/>
      <c r="R15" s="3"/>
      <c r="S15" s="3"/>
    </row>
    <row r="16" spans="2:19" ht="17.5" thickBot="1" x14ac:dyDescent="0.5">
      <c r="B16" s="10" t="str">
        <f>C2</f>
        <v>0x0B</v>
      </c>
      <c r="C16" s="16" t="str">
        <f>C12</f>
        <v>0x02</v>
      </c>
      <c r="D16" s="18" t="s">
        <v>19</v>
      </c>
      <c r="E16" s="11" t="s">
        <v>2</v>
      </c>
      <c r="F16" s="27"/>
      <c r="G16" s="27"/>
      <c r="H16" s="27"/>
      <c r="I16" s="27"/>
      <c r="J16" s="27"/>
      <c r="K16" s="27"/>
      <c r="L16" s="27"/>
      <c r="M16" s="27"/>
      <c r="N16" s="27"/>
      <c r="O16" s="27"/>
      <c r="P16" s="27"/>
      <c r="Q16" s="27"/>
      <c r="R16" s="27"/>
      <c r="S16" s="27"/>
    </row>
  </sheetData>
  <mergeCells count="15">
    <mergeCell ref="D2:E2"/>
    <mergeCell ref="D4:E4"/>
    <mergeCell ref="B5:B6"/>
    <mergeCell ref="C5:C6"/>
    <mergeCell ref="D5:D6"/>
    <mergeCell ref="E5:S5"/>
    <mergeCell ref="D12:E12"/>
    <mergeCell ref="B13:B14"/>
    <mergeCell ref="C13:C14"/>
    <mergeCell ref="D13:D14"/>
    <mergeCell ref="J9:K9"/>
    <mergeCell ref="L9:M9"/>
    <mergeCell ref="N9:O9"/>
    <mergeCell ref="P9:Q9"/>
    <mergeCell ref="R9:S9"/>
  </mergeCells>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12</vt:i4>
      </vt:variant>
    </vt:vector>
  </HeadingPairs>
  <TitlesOfParts>
    <vt:vector size="12" baseType="lpstr">
      <vt:lpstr>CMD</vt:lpstr>
      <vt:lpstr>0x01_Get_GW_Information</vt:lpstr>
      <vt:lpstr>0x02_Set_OTA_Server_URL</vt:lpstr>
      <vt:lpstr>0x03_Set_OTA_File_Name</vt:lpstr>
      <vt:lpstr>0x04_Set_WS_Server_URL</vt:lpstr>
      <vt:lpstr>0x05_Set_Server_Report_Interval</vt:lpstr>
      <vt:lpstr>0x06_Set_RSSI_Filter</vt:lpstr>
      <vt:lpstr>0x07_Cmd_OTA_Start</vt:lpstr>
      <vt:lpstr>0x08_GW_Info_Indication</vt:lpstr>
      <vt:lpstr>0x09_GW_Factory_Reset</vt:lpstr>
      <vt:lpstr>0x0A_Tag_Data_Indication</vt:lpstr>
      <vt:lpstr>0x0B_Dose_Data_Indication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Younguk Son</dc:creator>
  <cp:lastModifiedBy>손 영욱</cp:lastModifiedBy>
  <dcterms:created xsi:type="dcterms:W3CDTF">2024-11-18T08:34:39Z</dcterms:created>
  <dcterms:modified xsi:type="dcterms:W3CDTF">2026-04-20T06:24:52Z</dcterms:modified>
</cp:coreProperties>
</file>